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deeahmed/Documents/EXcel/"/>
    </mc:Choice>
  </mc:AlternateContent>
  <xr:revisionPtr revIDLastSave="0" documentId="13_ncr:1_{43D59819-E953-BC40-8E38-D6D3E8D37188}" xr6:coauthVersionLast="47" xr6:coauthVersionMax="47" xr10:uidLastSave="{00000000-0000-0000-0000-000000000000}"/>
  <bookViews>
    <workbookView xWindow="0" yWindow="500" windowWidth="28800" windowHeight="16440" xr2:uid="{D6A20852-F58C-4E49-A07F-B268B5D4C098}"/>
  </bookViews>
  <sheets>
    <sheet name="Performance Evaluation" sheetId="19" r:id="rId1"/>
    <sheet name="Analysis" sheetId="1" r:id="rId2"/>
    <sheet name=" COMPARATIVE ANALYSIS OF FINANC" sheetId="11" r:id="rId3"/>
    <sheet name="Operational results" sheetId="14" r:id="rId4"/>
    <sheet name="Cashflow movement" sheetId="12" r:id="rId5"/>
    <sheet name="vertical analysis" sheetId="16" r:id="rId6"/>
    <sheet name="horizontal analysis" sheetId="17" r:id="rId7"/>
    <sheet name="For GPT" sheetId="18" r:id="rId8"/>
  </sheets>
  <definedNames>
    <definedName name="ExternalData_1" localSheetId="2" hidden="1">' COMPARATIVE ANALYSIS OF FINANC'!$A$2:$G$16</definedName>
    <definedName name="ExternalData_1" localSheetId="6" hidden="1">'horizontal analysis'!$A$1:$F$18</definedName>
    <definedName name="ExternalData_1" localSheetId="3" hidden="1">'Operational results'!$A$1:$G$9</definedName>
    <definedName name="ExternalData_2" localSheetId="4" hidden="1">'Cashflow movement'!$A$1:$G$10</definedName>
    <definedName name="ExternalData_3" localSheetId="5" hidden="1">'vertical analysis'!$A$1:$F$17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MPARATIVE ANALYSIS OF FINANCIAL PERFORMANCE AND OPERATIONAL P_f5c648fb-1bc9-465c-ab06-6bb3fcd56e16" name="COMPARATIVE ANALYSIS OF FINANCIAL PERFORMANCE AND OPERATIONAL PERFORMANCE" connection="Query - COMPARATIVE ANALYSIS OF FINANCIAL PERFORMANCE AND OPERATIONAL PERFORMANC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" i="1" l="1"/>
  <c r="D75" i="1"/>
  <c r="E75" i="1"/>
  <c r="F75" i="1"/>
  <c r="C15" i="1"/>
  <c r="D15" i="1"/>
  <c r="E15" i="1"/>
  <c r="F15" i="1"/>
  <c r="B15" i="1"/>
  <c r="C13" i="1"/>
  <c r="D13" i="1"/>
  <c r="E13" i="1"/>
  <c r="F13" i="1"/>
  <c r="B13" i="1"/>
  <c r="B72" i="1"/>
  <c r="C70" i="1"/>
  <c r="D70" i="1"/>
  <c r="C53" i="1"/>
  <c r="D53" i="1"/>
  <c r="E53" i="1"/>
  <c r="E70" i="1" s="1"/>
  <c r="F53" i="1"/>
  <c r="B53" i="1"/>
  <c r="B70" i="1" s="1"/>
  <c r="C69" i="1"/>
  <c r="D69" i="1"/>
  <c r="E69" i="1"/>
  <c r="F69" i="1"/>
  <c r="B69" i="1"/>
  <c r="C68" i="1"/>
  <c r="D68" i="1"/>
  <c r="E68" i="1"/>
  <c r="F68" i="1"/>
  <c r="B68" i="1"/>
  <c r="C67" i="1"/>
  <c r="D67" i="1"/>
  <c r="E67" i="1"/>
  <c r="F67" i="1"/>
  <c r="B67" i="1"/>
  <c r="C66" i="1"/>
  <c r="D66" i="1"/>
  <c r="E66" i="1"/>
  <c r="F66" i="1"/>
  <c r="B66" i="1"/>
  <c r="C65" i="1"/>
  <c r="D65" i="1"/>
  <c r="E65" i="1"/>
  <c r="F65" i="1"/>
  <c r="B65" i="1"/>
  <c r="C64" i="1"/>
  <c r="D64" i="1"/>
  <c r="E64" i="1"/>
  <c r="F64" i="1"/>
  <c r="B64" i="1"/>
  <c r="C63" i="1"/>
  <c r="D63" i="1"/>
  <c r="E63" i="1"/>
  <c r="F63" i="1"/>
  <c r="B63" i="1"/>
  <c r="B45" i="1"/>
  <c r="B71" i="1" s="1"/>
  <c r="B51" i="1"/>
  <c r="B73" i="1" s="1"/>
  <c r="C62" i="1"/>
  <c r="D62" i="1"/>
  <c r="E62" i="1"/>
  <c r="F62" i="1"/>
  <c r="B62" i="1"/>
  <c r="C61" i="1"/>
  <c r="D61" i="1"/>
  <c r="E61" i="1"/>
  <c r="F61" i="1"/>
  <c r="C60" i="1"/>
  <c r="D60" i="1"/>
  <c r="E60" i="1"/>
  <c r="F60" i="1"/>
  <c r="C58" i="1"/>
  <c r="D58" i="1"/>
  <c r="E58" i="1"/>
  <c r="F58" i="1"/>
  <c r="C51" i="1"/>
  <c r="C52" i="1" s="1"/>
  <c r="D51" i="1"/>
  <c r="D52" i="1" s="1"/>
  <c r="E51" i="1"/>
  <c r="E52" i="1" s="1"/>
  <c r="F51" i="1"/>
  <c r="F52" i="1" s="1"/>
  <c r="C45" i="1"/>
  <c r="C57" i="1" s="1"/>
  <c r="D45" i="1"/>
  <c r="D57" i="1" s="1"/>
  <c r="E45" i="1"/>
  <c r="E57" i="1" s="1"/>
  <c r="F45" i="1"/>
  <c r="F74" i="1" s="1"/>
  <c r="C56" i="1"/>
  <c r="D56" i="1"/>
  <c r="E56" i="1"/>
  <c r="F56" i="1"/>
  <c r="B56" i="1"/>
  <c r="C55" i="1"/>
  <c r="D55" i="1"/>
  <c r="E55" i="1"/>
  <c r="F55" i="1"/>
  <c r="B55" i="1"/>
  <c r="C54" i="1"/>
  <c r="D54" i="1"/>
  <c r="E54" i="1"/>
  <c r="F54" i="1"/>
  <c r="B54" i="1"/>
  <c r="F70" i="1" l="1"/>
  <c r="F72" i="1"/>
  <c r="E72" i="1"/>
  <c r="F71" i="1"/>
  <c r="B74" i="1"/>
  <c r="B75" i="1" s="1"/>
  <c r="C73" i="1"/>
  <c r="D72" i="1"/>
  <c r="D73" i="1"/>
  <c r="E71" i="1"/>
  <c r="C72" i="1"/>
  <c r="E74" i="1"/>
  <c r="D71" i="1"/>
  <c r="D74" i="1"/>
  <c r="E73" i="1"/>
  <c r="C71" i="1"/>
  <c r="F73" i="1"/>
  <c r="C74" i="1"/>
  <c r="B60" i="1"/>
  <c r="D59" i="1"/>
  <c r="F59" i="1"/>
  <c r="E59" i="1"/>
  <c r="C59" i="1"/>
  <c r="F57" i="1"/>
  <c r="B61" i="1" l="1"/>
  <c r="B57" i="1" l="1"/>
  <c r="B52" i="1" l="1"/>
  <c r="B59" i="1" s="1"/>
  <c r="B5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AF4CF1-8C9C-4004-A5E9-FE089457D0E3}" keepAlive="1" name="Query - Cashflow movement1" description="Connection to the 'Cashflow movement' query in the workbook." type="5" refreshedVersion="8" background="1" saveData="1">
    <dbPr connection="Provider=Microsoft.Mashup.OleDb.1;Data Source=$Workbook$;Location=&quot;Cashflow movement&quot;;Extended Properties=&quot;&quot;" command="SELECT * FROM [Cashflow movement]"/>
  </connection>
  <connection id="2" xr16:uid="{E01289A5-F2B8-48E8-8D0A-511B3A1A9337}" name="Query - COMPARATIVE ANALYSIS OF FINANCIAL PERFORMANCE AND OPERATIONAL PERFORMANCE" description="Connection to the 'COMPARATIVE ANALYSIS OF FINANCIAL PERFORMANCE AND OPERATIONAL PERFORMANCE' query in the workbook." type="100" refreshedVersion="8" minRefreshableVersion="5">
    <extLst>
      <ext xmlns:x15="http://schemas.microsoft.com/office/spreadsheetml/2010/11/main" uri="{DE250136-89BD-433C-8126-D09CA5730AF9}">
        <x15:connection id="3706f9ee-767a-4393-a476-936c3c0628bc">
          <x15:oledbPr connection="Provider=Microsoft.Mashup.OleDb.1;Data Source=$Workbook$;Location=&quot;COMPARATIVE ANALYSIS OF FINANCIAL PERFORMANCE AND OPERATIONAL PERFORMANCE&quot;;Extended Properties=&quot;&quot;">
            <x15:dbTables>
              <x15:dbTable name="COMPARATIVE ANALYSIS OF FINANCIAL PERFORMANCE AND OPERATIONAL PERFORMANCE"/>
            </x15:dbTables>
          </x15:oledbPr>
        </x15:connection>
      </ext>
    </extLst>
  </connection>
  <connection id="3" xr16:uid="{8BC6002C-6A6A-455E-97E2-A857BD8F818D}" keepAlive="1" name="Query - financial results" description="Connection to the 'financial results' query in the workbook." type="5" refreshedVersion="8" background="1" saveData="1">
    <dbPr connection="Provider=Microsoft.Mashup.OleDb.1;Data Source=$Workbook$;Location=&quot;financial results&quot;;Extended Properties=&quot;&quot;" command="SELECT * FROM [financial results]"/>
  </connection>
  <connection id="4" xr16:uid="{43B7FC8F-65AF-4B11-A9AB-25B9223D4063}" keepAlive="1" name="Query - horizontal analysis" description="Connection to the 'horizontal analysis' query in the workbook." type="5" refreshedVersion="8" background="1" saveData="1">
    <dbPr connection="Provider=Microsoft.Mashup.OleDb.1;Data Source=$Workbook$;Location=&quot;horizontal analysis&quot;;Extended Properties=&quot;&quot;" command="SELECT * FROM [horizontal analysis]"/>
  </connection>
  <connection id="5" xr16:uid="{53F1A18D-27C9-4FA6-AAD8-C5650EC47543}" keepAlive="1" name="Query - Operational results" description="Connection to the 'Operational results' query in the workbook." type="5" refreshedVersion="8" background="1" saveData="1">
    <dbPr connection="Provider=Microsoft.Mashup.OleDb.1;Data Source=$Workbook$;Location=&quot;Operational results&quot;;Extended Properties=&quot;&quot;" command="SELECT * FROM [Operational results]"/>
  </connection>
  <connection id="6" xr16:uid="{3EDA316E-C1C9-4259-BAAB-A0E0B9900886}" keepAlive="1" name="Query - vertical analysis" description="Connection to the 'vertical analysis' query in the workbook." type="5" refreshedVersion="8" background="1" saveData="1">
    <dbPr connection="Provider=Microsoft.Mashup.OleDb.1;Data Source=$Workbook$;Location=&quot;vertical analysis&quot;;Extended Properties=&quot;&quot;" command="SELECT * FROM [vertical analysis]"/>
  </connection>
  <connection id="7" xr16:uid="{D084930F-3510-47A8-8774-032D6D6CC65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<sst xmlns="http://schemas.openxmlformats.org/spreadsheetml/2006/main" count="272" uniqueCount="136">
  <si>
    <t>2023</t>
  </si>
  <si>
    <t>2022</t>
  </si>
  <si>
    <t>2021</t>
  </si>
  <si>
    <t>2020</t>
  </si>
  <si>
    <t>2019</t>
  </si>
  <si>
    <t>Gross Turnover</t>
  </si>
  <si>
    <t>Gross Profit</t>
  </si>
  <si>
    <t>1,788</t>
  </si>
  <si>
    <t>1,787</t>
  </si>
  <si>
    <t>1,497</t>
  </si>
  <si>
    <t>1,089</t>
  </si>
  <si>
    <t>925</t>
  </si>
  <si>
    <t>540</t>
  </si>
  <si>
    <t>Total equity attributable to owners of the Company</t>
  </si>
  <si>
    <t>33.11</t>
  </si>
  <si>
    <t>33.10</t>
  </si>
  <si>
    <t>27.72</t>
  </si>
  <si>
    <t>20.16</t>
  </si>
  <si>
    <t>17.12</t>
  </si>
  <si>
    <t>4%</t>
  </si>
  <si>
    <t>5%</t>
  </si>
  <si>
    <t>15.67</t>
  </si>
  <si>
    <t>15.65</t>
  </si>
  <si>
    <t>-</t>
  </si>
  <si>
    <t>Financial results (BDT crore)</t>
  </si>
  <si>
    <t>2018</t>
  </si>
  <si>
    <t>Supplementary duty, VAT</t>
  </si>
  <si>
    <t>Net Turnover</t>
  </si>
  <si>
    <t>Cost of Goods Sold</t>
  </si>
  <si>
    <t>Operating Expense</t>
  </si>
  <si>
    <t>Operating Profit</t>
  </si>
  <si>
    <t>Profit before Tax</t>
  </si>
  <si>
    <t>Tax</t>
  </si>
  <si>
    <t>Profit after Tax</t>
  </si>
  <si>
    <t>EPS in BDT</t>
  </si>
  <si>
    <t>Share Capital (BDT cr.)</t>
  </si>
  <si>
    <t>No. of Employees</t>
  </si>
  <si>
    <t>Total Contribution to the National
Exchequer (BDT cr.)</t>
  </si>
  <si>
    <t xml:space="preserve"> COMPARATIVE ANALYSIS OF FINANCIAL PERFORMANCE AND OPERATIONAL PERFORMANCE</t>
  </si>
  <si>
    <t>Cashflow (BDT crore)</t>
  </si>
  <si>
    <t>Cash generated from operating activities</t>
  </si>
  <si>
    <t>Income Tax paid</t>
  </si>
  <si>
    <t>Net Interest (paid)/received</t>
  </si>
  <si>
    <t>Net cash flows from operating activities</t>
  </si>
  <si>
    <t>Net cash flows used in investing activities</t>
  </si>
  <si>
    <t>Net cash flows used in financing activities</t>
  </si>
  <si>
    <t>Net Increase in cash and cash equivalents</t>
  </si>
  <si>
    <t>Cash and cash equivalents at 01 January</t>
  </si>
  <si>
    <t>Cash and cash equivalents at 31 December</t>
  </si>
  <si>
    <t>Operational results</t>
  </si>
  <si>
    <t>Profit after tax (BDT Cr)</t>
  </si>
  <si>
    <t>1,001</t>
  </si>
  <si>
    <t>Earnings per share (BDT)</t>
  </si>
  <si>
    <t>18.54</t>
  </si>
  <si>
    <t>Interim &amp; final cash dividend (BDT Cr)</t>
  </si>
  <si>
    <t>1,080</t>
  </si>
  <si>
    <t>1,485</t>
  </si>
  <si>
    <t>720</t>
  </si>
  <si>
    <t>300</t>
  </si>
  <si>
    <t>Stock dividend ratio</t>
  </si>
  <si>
    <t>1:2</t>
  </si>
  <si>
    <t>Number of shares</t>
  </si>
  <si>
    <t>540,000,000</t>
  </si>
  <si>
    <t>180,000,000</t>
  </si>
  <si>
    <t>60,000,000</t>
  </si>
  <si>
    <t>Cash dividend per share</t>
  </si>
  <si>
    <t>10</t>
  </si>
  <si>
    <t>20</t>
  </si>
  <si>
    <t>27.50</t>
  </si>
  <si>
    <t>60</t>
  </si>
  <si>
    <t>40</t>
  </si>
  <si>
    <t>50</t>
  </si>
  <si>
    <t>P/E Ratio (as of record date)</t>
  </si>
  <si>
    <t>23</t>
  </si>
  <si>
    <t>58.57</t>
  </si>
  <si>
    <t>56.64</t>
  </si>
  <si>
    <t>191.02</t>
  </si>
  <si>
    <t>Dividend Yield (as of record date)</t>
  </si>
  <si>
    <t>2%</t>
  </si>
  <si>
    <t>1%</t>
  </si>
  <si>
    <t>Net revenue from contracts with customers</t>
  </si>
  <si>
    <t>Gross profit</t>
  </si>
  <si>
    <t>Operating profit</t>
  </si>
  <si>
    <t>Profit before tax</t>
  </si>
  <si>
    <t>Profit for the year</t>
  </si>
  <si>
    <t>Statement of financial position</t>
  </si>
  <si>
    <t>Total non-current assets</t>
  </si>
  <si>
    <t>Total current assets</t>
  </si>
  <si>
    <t>Total assets</t>
  </si>
  <si>
    <t>Share capital</t>
  </si>
  <si>
    <t>Retained earnings</t>
  </si>
  <si>
    <t>Total non-current liabilities</t>
  </si>
  <si>
    <t>Total current liabilities</t>
  </si>
  <si>
    <t>Total liabilities</t>
  </si>
  <si>
    <t>Total equity and liabilities</t>
  </si>
  <si>
    <t>Vertical analysis</t>
  </si>
  <si>
    <t>Financial performance (BDT cr.)</t>
  </si>
  <si>
    <t>Column1</t>
  </si>
  <si>
    <t>Earnings per share</t>
  </si>
  <si>
    <t>Table 01: Gross Profit Margin (in percentage) </t>
  </si>
  <si>
    <t>Table 02: Operating Profit Margin (in percentage) </t>
  </si>
  <si>
    <t>Table 03: Net Profit Margin (in percentage) </t>
  </si>
  <si>
    <t>Table 04: Return on Asset (ROA) (in percentage) </t>
  </si>
  <si>
    <t>Table 05: Return on Equity (ROE) (in percentage) </t>
  </si>
  <si>
    <t>Table 6: Debt to Asset (in percentage) </t>
  </si>
  <si>
    <t>Table 7: Times Interest Earned (in times) </t>
  </si>
  <si>
    <t>Table 8: Inventory Turnover (in times) </t>
  </si>
  <si>
    <t>Table 9: Receivables Turnover (in times) </t>
  </si>
  <si>
    <t>Table 10: Accounts Payable Turnover (in times) </t>
  </si>
  <si>
    <t>Table 11: Fixed Assets Turnover (in times) </t>
  </si>
  <si>
    <t>Table 12: Total Assets Turnover (in times) </t>
  </si>
  <si>
    <t>Table 13: Current Ratio </t>
  </si>
  <si>
    <t>Table 14: Quick Ratio </t>
  </si>
  <si>
    <t>Table 15: Cash Ratio </t>
  </si>
  <si>
    <t>Table 16: Cash Flow from Operation Ratio </t>
  </si>
  <si>
    <t>Table 17: Working Capital to Total Assets (in times) </t>
  </si>
  <si>
    <t>Table 18: Retained Earnings to Total Assets (in times) </t>
  </si>
  <si>
    <t>Table 19: Earning before Interest and Tex (EBIT) to Total Assets (in times) </t>
  </si>
  <si>
    <t>Table 20: Equity to Total Liabilities (in times) </t>
  </si>
  <si>
    <t>Table 21: Sales to Total Assets (in times) </t>
  </si>
  <si>
    <t>Table 22: Analysis of Z score </t>
  </si>
  <si>
    <t>Interest expense</t>
  </si>
  <si>
    <t>EBIT</t>
  </si>
  <si>
    <t>Inventory</t>
  </si>
  <si>
    <t>Average inventory</t>
  </si>
  <si>
    <t>Accounts Receivable</t>
  </si>
  <si>
    <t>Accounts Payable</t>
  </si>
  <si>
    <t>Average Accounts Payable</t>
  </si>
  <si>
    <t>Average Fixed Assets</t>
  </si>
  <si>
    <t>Average Total Asset</t>
  </si>
  <si>
    <t>Working Capital</t>
  </si>
  <si>
    <t>Market value of Equity</t>
  </si>
  <si>
    <t>Share price</t>
  </si>
  <si>
    <t xml:space="preserve">Market value of Equity to total liabilities </t>
  </si>
  <si>
    <t>FOR CHATGPT</t>
  </si>
  <si>
    <t>Performance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</si>
</sst>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202124"/>
      <name val="Arial"/>
      <family val="2"/>
    </font>
    <font>
      <sz val="10"/>
      <color rgb="FF202124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4"/>
      <color rgb="FF000000"/>
      <name val="Calibri Light"/>
      <family val="2"/>
      <scheme val="major"/>
    </font>
    <font>
      <b/>
      <sz val="16"/>
      <color theme="1"/>
      <name val="Calibri"/>
      <family val="2"/>
      <scheme val="minor"/>
    </font>
    <font>
      <b/>
      <sz val="14"/>
      <color rgb="FF202124"/>
      <name val="Calibri Light"/>
      <family val="2"/>
      <scheme val="major"/>
    </font>
    <font>
      <b/>
      <sz val="48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699"/>
        <bgColor rgb="FF000000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2" fontId="0" fillId="0" borderId="0" xfId="0" applyNumberFormat="1"/>
    <xf numFmtId="9" fontId="0" fillId="0" borderId="0" xfId="1" applyFont="1"/>
    <xf numFmtId="3" fontId="0" fillId="0" borderId="0" xfId="0" applyNumberFormat="1"/>
    <xf numFmtId="10" fontId="0" fillId="0" borderId="0" xfId="0" applyNumberFormat="1"/>
    <xf numFmtId="0" fontId="3" fillId="0" borderId="0" xfId="0" applyFont="1"/>
    <xf numFmtId="3" fontId="4" fillId="0" borderId="0" xfId="0" applyNumberFormat="1" applyFont="1" applyAlignment="1">
      <alignment horizontal="center" vertical="center"/>
    </xf>
    <xf numFmtId="3" fontId="5" fillId="0" borderId="0" xfId="0" applyNumberFormat="1" applyFont="1"/>
    <xf numFmtId="9" fontId="0" fillId="0" borderId="0" xfId="0" applyNumberFormat="1"/>
    <xf numFmtId="4" fontId="6" fillId="0" borderId="0" xfId="0" applyNumberFormat="1" applyFont="1"/>
    <xf numFmtId="0" fontId="6" fillId="0" borderId="0" xfId="0" applyFont="1"/>
    <xf numFmtId="10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3" fontId="6" fillId="0" borderId="0" xfId="0" applyNumberFormat="1" applyFont="1"/>
    <xf numFmtId="43" fontId="10" fillId="0" borderId="0" xfId="2" applyFont="1" applyFill="1" applyAlignment="1">
      <alignment horizontal="center" vertical="center"/>
    </xf>
    <xf numFmtId="43" fontId="11" fillId="0" borderId="0" xfId="2" applyFont="1" applyFill="1" applyAlignment="1">
      <alignment horizontal="center" vertical="center"/>
    </xf>
    <xf numFmtId="43" fontId="12" fillId="0" borderId="0" xfId="2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3" fontId="10" fillId="2" borderId="0" xfId="2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43" fontId="14" fillId="0" borderId="0" xfId="2" applyFont="1" applyFill="1" applyAlignment="1">
      <alignment horizontal="center" vertical="center"/>
    </xf>
    <xf numFmtId="9" fontId="10" fillId="2" borderId="0" xfId="1" applyFont="1" applyFill="1" applyAlignment="1">
      <alignment horizontal="right" vertical="center"/>
    </xf>
    <xf numFmtId="0" fontId="15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9" fontId="8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/>
    <xf numFmtId="9" fontId="10" fillId="0" borderId="1" xfId="1" applyFont="1" applyBorder="1" applyAlignment="1">
      <alignment horizontal="center" vertical="center"/>
    </xf>
    <xf numFmtId="9" fontId="10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8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026B789-A4EF-4DAA-AB7F-34BCF1B0C9C3}"/>
  </tableStyles>
  <colors>
    <mruColors>
      <color rgb="FF1F3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Analysi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609600</xdr:colOff>
      <xdr:row>4</xdr:row>
      <xdr:rowOff>215900</xdr:rowOff>
    </xdr:from>
    <xdr:to>
      <xdr:col>11</xdr:col>
      <xdr:colOff>101600</xdr:colOff>
      <xdr:row>12</xdr:row>
      <xdr:rowOff>152400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4C4AE7-ACA3-9896-DA00-BF54DFA9C732}"/>
            </a:ext>
          </a:extLst>
        </xdr:cNvPr>
        <xdr:cNvGrpSpPr/>
      </xdr:nvGrpSpPr>
      <xdr:grpSpPr>
        <a:xfrm>
          <a:off x="13878910" y="1237739"/>
          <a:ext cx="1988207" cy="1921787"/>
          <a:chOff x="13878910" y="1237739"/>
          <a:chExt cx="1988207" cy="1921787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648A03-AAF3-0B91-6D12-88F9FC09024E}"/>
              </a:ext>
            </a:extLst>
          </xdr:cNvPr>
          <xdr:cNvSpPr/>
        </xdr:nvSpPr>
        <xdr:spPr>
          <a:xfrm>
            <a:off x="13878910" y="1237739"/>
            <a:ext cx="1988207" cy="1921787"/>
          </a:xfrm>
          <a:prstGeom prst="roundRect">
            <a:avLst/>
          </a:prstGeom>
          <a:solidFill>
            <a:schemeClr val="accent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2" name="Picture 1" descr="Monitor ">
            <a:extLst>
              <a:ext uri="{FF2B5EF4-FFF2-40B4-BE49-F238E27FC236}">
                <a16:creationId xmlns:a16="http://schemas.microsoft.com/office/drawing/2014/main" id="{14BBD5F3-AA25-8C27-1A97-F30306779D1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126779" y="1422400"/>
            <a:ext cx="1467069" cy="1425466"/>
          </a:xfrm>
          <a:prstGeom prst="rect">
            <a:avLst/>
          </a:prstGeom>
          <a:noFill/>
          <a:effectLst>
            <a:outerShdw blurRad="566664" dist="50800" sx="92000" sy="92000" algn="ctr" rotWithShape="0">
              <a:schemeClr val="bg1">
                <a:alpha val="60000"/>
              </a:scheme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7</xdr:col>
      <xdr:colOff>788276</xdr:colOff>
      <xdr:row>13</xdr:row>
      <xdr:rowOff>87588</xdr:rowOff>
    </xdr:from>
    <xdr:to>
      <xdr:col>15</xdr:col>
      <xdr:colOff>408736</xdr:colOff>
      <xdr:row>15</xdr:row>
      <xdr:rowOff>72990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2511DB-1E86-6072-3BB5-1CF423090A46}"/>
            </a:ext>
          </a:extLst>
        </xdr:cNvPr>
        <xdr:cNvSpPr/>
      </xdr:nvSpPr>
      <xdr:spPr>
        <a:xfrm>
          <a:off x="13225517" y="3342875"/>
          <a:ext cx="6277012" cy="481724"/>
        </a:xfrm>
        <a:prstGeom prst="roundRect">
          <a:avLst/>
        </a:prstGeom>
        <a:solidFill>
          <a:srgbClr val="1F37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To see</a:t>
          </a:r>
          <a:r>
            <a:rPr lang="en-US" sz="1800" b="1" baseline="0"/>
            <a:t> calculations, click here</a:t>
          </a:r>
          <a:endParaRPr lang="en-US" sz="1800" b="1"/>
        </a:p>
      </xdr:txBody>
    </xdr:sp>
    <xdr:clientData/>
  </xdr:twoCellAnchor>
  <xdr:twoCellAnchor editAs="oneCell">
    <xdr:from>
      <xdr:col>12</xdr:col>
      <xdr:colOff>29196</xdr:colOff>
      <xdr:row>5</xdr:row>
      <xdr:rowOff>189770</xdr:rowOff>
    </xdr:from>
    <xdr:to>
      <xdr:col>15</xdr:col>
      <xdr:colOff>131380</xdr:colOff>
      <xdr:row>10</xdr:row>
      <xdr:rowOff>73913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42C1BA-5299-6ADC-7115-5E5EE6FF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6782" y="1459770"/>
          <a:ext cx="2598391" cy="1124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14942</xdr:colOff>
      <xdr:row>0</xdr:row>
      <xdr:rowOff>179293</xdr:rowOff>
    </xdr:from>
    <xdr:to>
      <xdr:col>11</xdr:col>
      <xdr:colOff>2394176</xdr:colOff>
      <xdr:row>12</xdr:row>
      <xdr:rowOff>89646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D4C62F-1CDE-AA40-9FD8-588F37129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3648" y="179293"/>
          <a:ext cx="6488057" cy="2808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A00FB93-9AD8-49F5-BC3D-73C302430EC9}" autoFormatId="16" applyNumberFormats="0" applyBorderFormats="0" applyFontFormats="0" applyPatternFormats="0" applyAlignmentFormats="0" applyWidthHeightFormats="0">
  <queryTableRefresh nextId="8">
    <queryTableFields count="7">
      <queryTableField id="1" name="Financial results (BDT crore)" tableColumnId="1"/>
      <queryTableField id="2" name="2023" tableColumnId="2"/>
      <queryTableField id="3" name="2022" tableColumnId="3"/>
      <queryTableField id="4" name="2021" tableColumnId="4"/>
      <queryTableField id="5" name="2020" tableColumnId="5"/>
      <queryTableField id="6" name="2019" tableColumnId="6"/>
      <queryTableField id="7" name="2018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707C0EB-4E75-4730-B7D5-4C1B7FC48939}" autoFormatId="16" applyNumberFormats="0" applyBorderFormats="0" applyFontFormats="0" applyPatternFormats="0" applyAlignmentFormats="0" applyWidthHeightFormats="0">
  <queryTableRefresh nextId="8">
    <queryTableFields count="7">
      <queryTableField id="1" name="Operational results" tableColumnId="1"/>
      <queryTableField id="2" name="2023" tableColumnId="2"/>
      <queryTableField id="3" name="2022" tableColumnId="3"/>
      <queryTableField id="4" name="2021" tableColumnId="4"/>
      <queryTableField id="5" name="2020" tableColumnId="5"/>
      <queryTableField id="6" name="2019" tableColumnId="6"/>
      <queryTableField id="7" name="2018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A353F9D-2665-456E-AD6B-B492F9AB1907}" autoFormatId="16" applyNumberFormats="0" applyBorderFormats="0" applyFontFormats="0" applyPatternFormats="0" applyAlignmentFormats="0" applyWidthHeightFormats="0">
  <queryTableRefresh nextId="8">
    <queryTableFields count="7">
      <queryTableField id="1" name="Cashflow (BDT crore)" tableColumnId="1"/>
      <queryTableField id="2" name="2023" tableColumnId="2"/>
      <queryTableField id="3" name="2022" tableColumnId="3"/>
      <queryTableField id="4" name="2021" tableColumnId="4"/>
      <queryTableField id="5" name="2020" tableColumnId="5"/>
      <queryTableField id="6" name="2019" tableColumnId="6"/>
      <queryTableField id="7" name="2018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8AC1CBA-9788-46C8-8957-47D313287DB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2A7661C-0E11-4F3B-AE41-D301CBA7CE8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652EF2-E570-4DC4-9BF7-BCE50D904FBA}" name="financial_results" displayName="financial_results" ref="A2:G16" tableType="queryTable" totalsRowShown="0">
  <autoFilter ref="A2:G16" xr:uid="{28652EF2-E570-4DC4-9BF7-BCE50D904FBA}"/>
  <tableColumns count="7">
    <tableColumn id="1" xr3:uid="{C4C9BE0B-AC89-4A96-8C0C-6295F407F769}" uniqueName="1" name="Financial results (BDT crore)" queryTableFieldId="1" dataDxfId="17"/>
    <tableColumn id="2" xr3:uid="{E84A26A4-11F5-4A51-86EF-66F927207989}" uniqueName="2" name="2023" queryTableFieldId="2"/>
    <tableColumn id="3" xr3:uid="{00F49A19-7DF3-47E8-B050-9E8D058E5F22}" uniqueName="3" name="2022" queryTableFieldId="3"/>
    <tableColumn id="4" xr3:uid="{4F9C5EA7-AAF6-4A06-A913-FEB72B9E9C42}" uniqueName="4" name="2021" queryTableFieldId="4"/>
    <tableColumn id="5" xr3:uid="{149D7FC6-87A6-4699-951C-C8923728BD1E}" uniqueName="5" name="2020" queryTableFieldId="5"/>
    <tableColumn id="6" xr3:uid="{88525620-F624-4296-A26C-9C35AE3653A2}" uniqueName="6" name="2019" queryTableFieldId="6"/>
    <tableColumn id="7" xr3:uid="{50A8C5EA-03F5-487B-A0DA-07F5B2F8EDAF}" uniqueName="7" name="2018" queryTableFieldId="7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BE0993-9D95-4224-9738-8E1EB97779F8}" name="Operational_results" displayName="Operational_results" ref="A1:G9" tableType="queryTable" totalsRowShown="0">
  <autoFilter ref="A1:G9" xr:uid="{08BE0993-9D95-4224-9738-8E1EB97779F8}"/>
  <tableColumns count="7">
    <tableColumn id="1" xr3:uid="{1E5AC123-CD4F-4DAA-91FD-F6F91B131EB8}" uniqueName="1" name="Operational results" queryTableFieldId="1" dataDxfId="16"/>
    <tableColumn id="2" xr3:uid="{BE6BBFBE-9717-4B1F-A734-E333CEFB1515}" uniqueName="2" name="2023" queryTableFieldId="2" dataDxfId="15"/>
    <tableColumn id="3" xr3:uid="{529C22B5-0E9E-46E8-8DAE-7722DD85CCC9}" uniqueName="3" name="2022" queryTableFieldId="3" dataDxfId="14"/>
    <tableColumn id="4" xr3:uid="{9F3B68A7-13E3-4857-B3ED-0E7F901D9E8E}" uniqueName="4" name="2021" queryTableFieldId="4" dataDxfId="13"/>
    <tableColumn id="5" xr3:uid="{89DF30B6-AE76-4894-AC1A-C82B43BDCC07}" uniqueName="5" name="2020" queryTableFieldId="5" dataDxfId="12"/>
    <tableColumn id="6" xr3:uid="{C530FAEC-AB4B-4620-B0BB-255D58A1CD80}" uniqueName="6" name="2019" queryTableFieldId="6" dataDxfId="11"/>
    <tableColumn id="7" xr3:uid="{67FFE7C0-E8FF-4FA7-B496-7165C75215A8}" uniqueName="7" name="2018" queryTableFieldId="7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614FC1-1C50-45E4-99A8-7557E1F66C52}" name="Cashflow_movement" displayName="Cashflow_movement" ref="A1:G10" tableType="queryTable" totalsRowShown="0">
  <autoFilter ref="A1:G10" xr:uid="{A2614FC1-1C50-45E4-99A8-7557E1F66C52}"/>
  <tableColumns count="7">
    <tableColumn id="1" xr3:uid="{C20F5BF6-850B-4159-B85B-B855E5D2E3A3}" uniqueName="1" name="Cashflow (BDT crore)" queryTableFieldId="1" dataDxfId="9"/>
    <tableColumn id="2" xr3:uid="{46053C3E-CB05-4760-9AED-38730F0A1E87}" uniqueName="2" name="2023" queryTableFieldId="2"/>
    <tableColumn id="3" xr3:uid="{EB4AD630-FD0D-4E07-95AB-9A6C4244412E}" uniqueName="3" name="2022" queryTableFieldId="3"/>
    <tableColumn id="4" xr3:uid="{495D7B0D-A89F-4FDB-9BEC-F4500E03ECF0}" uniqueName="4" name="2021" queryTableFieldId="4"/>
    <tableColumn id="5" xr3:uid="{4B65719C-C8F5-4A56-9FF1-40E971441107}" uniqueName="5" name="2020" queryTableFieldId="5"/>
    <tableColumn id="6" xr3:uid="{960C85DF-1665-46B8-80CE-744DF52658AF}" uniqueName="6" name="2019" queryTableFieldId="6"/>
    <tableColumn id="7" xr3:uid="{1665BCC7-5D94-4751-B2D1-C51528AA9930}" uniqueName="7" name="2018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03FBF6-BA26-4534-8EB9-04271AD1F0EB}" name="vertical_analysis" displayName="vertical_analysis" ref="A1:F18" tableType="queryTable" totalsRowCount="1">
  <autoFilter ref="A1:F17" xr:uid="{C503FBF6-BA26-4534-8EB9-04271AD1F0EB}"/>
  <tableColumns count="6">
    <tableColumn id="1" xr3:uid="{595A4C40-14EA-430B-BED7-7AFE03DB4C2C}" uniqueName="1" name="Vertical analysis" queryTableFieldId="1" dataDxfId="8" totalsRowDxfId="7"/>
    <tableColumn id="2" xr3:uid="{B46DCCD9-D8CE-4E72-A6BB-D63C18BEB285}" uniqueName="2" name="2023" queryTableFieldId="2" totalsRowDxfId="6"/>
    <tableColumn id="3" xr3:uid="{D82B0A76-5C16-4FEF-9101-DEC745AFB9F4}" uniqueName="3" name="2022" queryTableFieldId="3"/>
    <tableColumn id="4" xr3:uid="{3C80AD93-1FE8-45A5-AFEB-EAB9E74D98E1}" uniqueName="4" name="2021" queryTableFieldId="4"/>
    <tableColumn id="5" xr3:uid="{4D13C18C-DEF1-4D85-8DA2-9573BE2B9A83}" uniqueName="5" name="2020" queryTableFieldId="5"/>
    <tableColumn id="6" xr3:uid="{1D4A85EB-F29A-4888-8936-D93D7CA5E1A7}" uniqueName="6" name="2019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0E976D-F070-4D7E-93FF-E670DC6667E3}" name="horizontal_analysis" displayName="horizontal_analysis" ref="A1:F18" tableType="queryTable" totalsRowShown="0">
  <autoFilter ref="A1:F18" xr:uid="{890E976D-F070-4D7E-93FF-E670DC6667E3}"/>
  <tableColumns count="6">
    <tableColumn id="1" xr3:uid="{7C763DD8-99B3-4312-B5A6-830AAB1AB63E}" uniqueName="1" name="Column1" queryTableFieldId="1" dataDxfId="5"/>
    <tableColumn id="2" xr3:uid="{458AD2A3-6B7A-40C4-A124-83BE7A9DE42E}" uniqueName="2" name="2023" queryTableFieldId="2" dataDxfId="4"/>
    <tableColumn id="3" xr3:uid="{59070902-C9ED-42F0-8EF1-6B5E3827D463}" uniqueName="3" name="2022" queryTableFieldId="3" dataDxfId="3"/>
    <tableColumn id="4" xr3:uid="{392203E4-6533-4A01-85D2-4612CCB7A535}" uniqueName="4" name="2021" queryTableFieldId="4" dataDxfId="2"/>
    <tableColumn id="5" xr3:uid="{C9D410F1-9FFB-4640-B9E4-A21F2368C228}" uniqueName="5" name="2020" queryTableFieldId="5" dataDxfId="1"/>
    <tableColumn id="6" xr3:uid="{563F99FE-7146-4473-83AB-B3EA43DD038B}" uniqueName="6" name="2019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1F2A-3082-E04B-97A3-E7102BEE3989}">
  <dimension ref="A1:G44"/>
  <sheetViews>
    <sheetView showGridLines="0" tabSelected="1" zoomScale="87" zoomScaleNormal="100" workbookViewId="0">
      <selection activeCell="J3" sqref="J3"/>
    </sheetView>
  </sheetViews>
  <sheetFormatPr baseColWidth="10" defaultRowHeight="15" x14ac:dyDescent="0.2"/>
  <cols>
    <col min="1" max="1" width="22.33203125" customWidth="1"/>
    <col min="2" max="2" width="72.6640625" bestFit="1" customWidth="1"/>
    <col min="3" max="3" width="14.83203125" bestFit="1" customWidth="1"/>
    <col min="4" max="6" width="14.1640625" bestFit="1" customWidth="1"/>
  </cols>
  <sheetData>
    <row r="1" spans="2:7" ht="22" thickBot="1" x14ac:dyDescent="0.3">
      <c r="B1" s="22" t="s">
        <v>135</v>
      </c>
      <c r="C1" s="21">
        <v>2023</v>
      </c>
      <c r="D1" s="21">
        <v>2022</v>
      </c>
      <c r="E1" s="21">
        <v>2021</v>
      </c>
      <c r="F1" s="21">
        <v>2020</v>
      </c>
      <c r="G1" s="21">
        <v>2019</v>
      </c>
    </row>
    <row r="2" spans="2:7" ht="20" thickBot="1" x14ac:dyDescent="0.3">
      <c r="B2" s="35" t="s">
        <v>99</v>
      </c>
      <c r="C2" s="36">
        <v>0.4854368932038835</v>
      </c>
      <c r="D2" s="36">
        <v>0.52510981835450554</v>
      </c>
      <c r="E2" s="36">
        <v>0.53534678604837627</v>
      </c>
      <c r="F2" s="36">
        <v>0.48930170840935477</v>
      </c>
      <c r="G2" s="36">
        <v>0.47254487856388594</v>
      </c>
    </row>
    <row r="3" spans="2:7" ht="20" thickBot="1" x14ac:dyDescent="0.3">
      <c r="B3" s="14"/>
      <c r="C3" s="37"/>
      <c r="D3" s="37"/>
      <c r="E3" s="37"/>
      <c r="F3" s="37"/>
      <c r="G3" s="37"/>
    </row>
    <row r="4" spans="2:7" ht="20" thickBot="1" x14ac:dyDescent="0.3">
      <c r="B4" s="35" t="s">
        <v>100</v>
      </c>
      <c r="C4" s="36">
        <v>0.38213155885240535</v>
      </c>
      <c r="D4" s="36">
        <v>0.42205864893743322</v>
      </c>
      <c r="E4" s="36">
        <v>0.42362688761192036</v>
      </c>
      <c r="F4" s="36">
        <v>0.36855199867308014</v>
      </c>
      <c r="G4" s="36">
        <v>0.33034142907426961</v>
      </c>
    </row>
    <row r="5" spans="2:7" ht="20" thickBot="1" x14ac:dyDescent="0.3">
      <c r="B5" s="14"/>
      <c r="C5" s="37"/>
      <c r="D5" s="37"/>
      <c r="E5" s="37"/>
      <c r="F5" s="37"/>
      <c r="G5" s="37"/>
    </row>
    <row r="6" spans="2:7" ht="20" thickBot="1" x14ac:dyDescent="0.3">
      <c r="B6" s="35" t="s">
        <v>101</v>
      </c>
      <c r="C6" s="36">
        <v>0.19504745281989747</v>
      </c>
      <c r="D6" s="36">
        <v>0.21215718865012465</v>
      </c>
      <c r="E6" s="36">
        <v>0.20005345449685955</v>
      </c>
      <c r="F6" s="36">
        <v>0.18062696964670757</v>
      </c>
      <c r="G6" s="36">
        <v>0.16279479056670187</v>
      </c>
    </row>
    <row r="7" spans="2:7" ht="20" thickBot="1" x14ac:dyDescent="0.3">
      <c r="B7" s="14"/>
      <c r="C7" s="37"/>
      <c r="D7" s="37"/>
      <c r="E7" s="37"/>
      <c r="F7" s="37"/>
      <c r="G7" s="37"/>
    </row>
    <row r="8" spans="2:7" ht="20" thickBot="1" x14ac:dyDescent="0.3">
      <c r="B8" s="35" t="s">
        <v>102</v>
      </c>
      <c r="C8" s="36">
        <v>0.17215482380127095</v>
      </c>
      <c r="D8" s="36">
        <v>0.21419153781613329</v>
      </c>
      <c r="E8" s="36">
        <v>0.19303675048355901</v>
      </c>
      <c r="F8" s="36">
        <v>0.16818532818532819</v>
      </c>
      <c r="G8" s="36">
        <v>0.15564529698805318</v>
      </c>
    </row>
    <row r="9" spans="2:7" ht="20" thickBot="1" x14ac:dyDescent="0.3">
      <c r="B9" s="14"/>
      <c r="C9" s="37"/>
      <c r="D9" s="37"/>
      <c r="E9" s="37"/>
      <c r="F9" s="37"/>
      <c r="G9" s="37"/>
    </row>
    <row r="10" spans="2:7" ht="20" thickBot="1" x14ac:dyDescent="0.3">
      <c r="B10" s="35" t="s">
        <v>103</v>
      </c>
      <c r="C10" s="36">
        <v>0.34141397322611766</v>
      </c>
      <c r="D10" s="36">
        <v>0.3331625075357742</v>
      </c>
      <c r="E10" s="36">
        <v>0.36349420643168645</v>
      </c>
      <c r="F10" s="36">
        <v>0.22195570929870365</v>
      </c>
      <c r="G10" s="36">
        <v>0.19286244828714885</v>
      </c>
    </row>
    <row r="11" spans="2:7" ht="20" thickBot="1" x14ac:dyDescent="0.3">
      <c r="B11" s="14"/>
      <c r="C11" s="37"/>
      <c r="D11" s="37"/>
      <c r="E11" s="37"/>
      <c r="F11" s="37"/>
      <c r="G11" s="37"/>
    </row>
    <row r="12" spans="2:7" ht="20" thickBot="1" x14ac:dyDescent="0.3">
      <c r="B12" s="35" t="s">
        <v>104</v>
      </c>
      <c r="C12" s="36">
        <v>0.98787252070094356</v>
      </c>
      <c r="D12" s="36">
        <v>1.1493166486875226</v>
      </c>
      <c r="E12" s="36">
        <v>1.0566550612508061</v>
      </c>
      <c r="F12" s="36">
        <v>1.2326462187902187</v>
      </c>
      <c r="G12" s="36">
        <v>1.2046381214126798</v>
      </c>
    </row>
    <row r="13" spans="2:7" ht="20" thickBot="1" x14ac:dyDescent="0.3">
      <c r="B13" s="14"/>
      <c r="C13" s="38"/>
      <c r="D13" s="38"/>
      <c r="E13" s="38"/>
      <c r="F13" s="38"/>
      <c r="G13" s="38"/>
    </row>
    <row r="14" spans="2:7" ht="20" thickBot="1" x14ac:dyDescent="0.3">
      <c r="B14" s="35" t="s">
        <v>105</v>
      </c>
      <c r="C14" s="39">
        <v>57.145797598627787</v>
      </c>
      <c r="D14" s="39">
        <v>60.147163120567377</v>
      </c>
      <c r="E14" s="39">
        <v>81.760752688172033</v>
      </c>
      <c r="F14" s="39">
        <v>66.486238532110079</v>
      </c>
      <c r="G14" s="39">
        <v>30.824742268041234</v>
      </c>
    </row>
    <row r="15" spans="2:7" ht="20" thickBot="1" x14ac:dyDescent="0.3">
      <c r="B15" s="14"/>
      <c r="C15" s="40"/>
      <c r="D15" s="40"/>
      <c r="E15" s="40"/>
      <c r="F15" s="40"/>
      <c r="G15" s="40"/>
    </row>
    <row r="16" spans="2:7" ht="20" thickBot="1" x14ac:dyDescent="0.3">
      <c r="B16" s="35" t="s">
        <v>106</v>
      </c>
      <c r="C16" s="39">
        <v>31.446666666666665</v>
      </c>
      <c r="D16" s="39">
        <v>28.564285714285713</v>
      </c>
      <c r="E16" s="39">
        <v>26.746153846153845</v>
      </c>
      <c r="F16" s="39">
        <v>25.658333333333335</v>
      </c>
      <c r="G16" s="39">
        <v>27.245454545454546</v>
      </c>
    </row>
    <row r="17" spans="1:7" ht="20" thickBot="1" x14ac:dyDescent="0.3">
      <c r="B17" s="14"/>
      <c r="C17" s="40"/>
      <c r="D17" s="40"/>
      <c r="E17" s="40"/>
      <c r="F17" s="40"/>
      <c r="G17" s="40"/>
    </row>
    <row r="18" spans="1:7" ht="20" thickBot="1" x14ac:dyDescent="0.3">
      <c r="B18" s="35" t="s">
        <v>107</v>
      </c>
      <c r="C18" s="39">
        <v>39.856521739130436</v>
      </c>
      <c r="D18" s="39">
        <v>36.621739130434783</v>
      </c>
      <c r="E18" s="39">
        <v>32.53478260869565</v>
      </c>
      <c r="F18" s="39">
        <v>26.213043478260868</v>
      </c>
      <c r="G18" s="39">
        <v>24.704347826086956</v>
      </c>
    </row>
    <row r="19" spans="1:7" ht="20" thickBot="1" x14ac:dyDescent="0.3">
      <c r="B19" s="14"/>
      <c r="C19" s="40"/>
      <c r="D19" s="40"/>
      <c r="E19" s="40"/>
      <c r="F19" s="40"/>
      <c r="G19" s="40"/>
    </row>
    <row r="20" spans="1:7" ht="20" thickBot="1" x14ac:dyDescent="0.3">
      <c r="B20" s="35" t="s">
        <v>108</v>
      </c>
      <c r="C20" s="39">
        <v>-154.65573770491804</v>
      </c>
      <c r="D20" s="39">
        <v>-56.323943661971832</v>
      </c>
      <c r="E20" s="39">
        <v>0.96717663421418631</v>
      </c>
      <c r="F20" s="39">
        <v>1.2395330112721417</v>
      </c>
      <c r="G20" s="39">
        <v>11.729941291585128</v>
      </c>
    </row>
    <row r="21" spans="1:7" ht="20" thickBot="1" x14ac:dyDescent="0.3">
      <c r="B21" s="14"/>
      <c r="C21" s="40"/>
      <c r="D21" s="40"/>
      <c r="E21" s="40"/>
      <c r="F21" s="40"/>
      <c r="G21" s="40"/>
    </row>
    <row r="22" spans="1:7" ht="20" thickBot="1" x14ac:dyDescent="0.3">
      <c r="B22" s="35" t="s">
        <v>109</v>
      </c>
      <c r="C22" s="39">
        <v>0.52418645558487242</v>
      </c>
      <c r="D22" s="39">
        <v>0.58217950806320251</v>
      </c>
      <c r="E22" s="39">
        <v>0.55046883618312192</v>
      </c>
      <c r="F22" s="39">
        <v>0.44367488286820128</v>
      </c>
      <c r="G22" s="39">
        <v>0.78356628547225748</v>
      </c>
    </row>
    <row r="23" spans="1:7" ht="20" thickBot="1" x14ac:dyDescent="0.3">
      <c r="B23" s="14"/>
      <c r="C23" s="40"/>
      <c r="D23" s="40"/>
      <c r="E23" s="40"/>
      <c r="F23" s="40"/>
      <c r="G23" s="40"/>
    </row>
    <row r="24" spans="1:7" ht="20" thickBot="1" x14ac:dyDescent="0.3">
      <c r="B24" s="35" t="s">
        <v>110</v>
      </c>
      <c r="C24" s="39">
        <v>0.17215482380127095</v>
      </c>
      <c r="D24" s="39">
        <v>0.21419153781613329</v>
      </c>
      <c r="E24" s="39">
        <v>0.19303675048355901</v>
      </c>
      <c r="F24" s="39">
        <v>0.16818532818532819</v>
      </c>
      <c r="G24" s="39">
        <v>0.15564529698805318</v>
      </c>
    </row>
    <row r="25" spans="1:7" ht="20" thickBot="1" x14ac:dyDescent="0.3">
      <c r="B25" s="14"/>
      <c r="C25" s="40"/>
      <c r="D25" s="40"/>
      <c r="E25" s="40"/>
      <c r="F25" s="40"/>
      <c r="G25" s="40"/>
    </row>
    <row r="26" spans="1:7" ht="20" thickBot="1" x14ac:dyDescent="0.3">
      <c r="B26" s="35" t="s">
        <v>111</v>
      </c>
      <c r="C26" s="39">
        <v>1.5775798069784708</v>
      </c>
      <c r="D26" s="39">
        <v>1.3698839340256568</v>
      </c>
      <c r="E26" s="39">
        <v>1.3450274557657107</v>
      </c>
      <c r="F26" s="39">
        <v>1.3947912360479537</v>
      </c>
      <c r="G26" s="39">
        <v>1.6596119929453264</v>
      </c>
    </row>
    <row r="27" spans="1:7" ht="20" thickBot="1" x14ac:dyDescent="0.3">
      <c r="B27" s="14"/>
      <c r="C27" s="40"/>
      <c r="D27" s="40"/>
      <c r="E27" s="40"/>
      <c r="F27" s="40"/>
      <c r="G27" s="40"/>
    </row>
    <row r="28" spans="1:7" ht="20" thickBot="1" x14ac:dyDescent="0.3">
      <c r="B28" s="35" t="s">
        <v>112</v>
      </c>
      <c r="C28" s="39">
        <v>0.67161593664934427</v>
      </c>
      <c r="D28" s="39">
        <v>0.35186316432498471</v>
      </c>
      <c r="E28" s="39">
        <v>0.20012202562538134</v>
      </c>
      <c r="F28" s="39">
        <v>0.36502687060768912</v>
      </c>
      <c r="G28" s="39">
        <v>0.55026455026455023</v>
      </c>
    </row>
    <row r="29" spans="1:7" ht="20" thickBot="1" x14ac:dyDescent="0.3">
      <c r="A29" s="14"/>
      <c r="B29" s="40"/>
      <c r="C29" s="40"/>
      <c r="D29" s="40"/>
      <c r="E29" s="40"/>
      <c r="F29" s="40"/>
    </row>
    <row r="30" spans="1:7" ht="20" thickBot="1" x14ac:dyDescent="0.3">
      <c r="B30" s="35" t="s">
        <v>113</v>
      </c>
      <c r="C30" s="39">
        <v>0.23360554318238061</v>
      </c>
      <c r="D30" s="39">
        <v>0.14996945632254124</v>
      </c>
      <c r="E30" s="39">
        <v>4.301403294691885E-2</v>
      </c>
      <c r="F30" s="39">
        <v>0.24266225713104589</v>
      </c>
      <c r="G30" s="39">
        <v>0.3168724279835391</v>
      </c>
    </row>
    <row r="31" spans="1:7" ht="20" thickBot="1" x14ac:dyDescent="0.3">
      <c r="B31" s="14"/>
      <c r="C31" s="40"/>
      <c r="D31" s="40"/>
      <c r="E31" s="40"/>
      <c r="F31" s="40"/>
      <c r="G31" s="40"/>
    </row>
    <row r="32" spans="1:7" ht="20" thickBot="1" x14ac:dyDescent="0.3">
      <c r="B32" s="35" t="s">
        <v>114</v>
      </c>
      <c r="C32" s="39">
        <v>0.25266023261568921</v>
      </c>
      <c r="D32" s="39">
        <v>0.82529016493585827</v>
      </c>
      <c r="E32" s="39">
        <v>0.24252593044539353</v>
      </c>
      <c r="F32" s="39">
        <v>0.6209177346010748</v>
      </c>
      <c r="G32" s="39">
        <v>0.91651969429747204</v>
      </c>
    </row>
    <row r="33" spans="2:7" ht="20" thickBot="1" x14ac:dyDescent="0.3">
      <c r="B33" s="14"/>
      <c r="C33" s="40"/>
      <c r="D33" s="40"/>
      <c r="E33" s="40"/>
      <c r="F33" s="40"/>
      <c r="G33" s="40"/>
    </row>
    <row r="34" spans="2:7" ht="20" thickBot="1" x14ac:dyDescent="0.3">
      <c r="B34" s="35" t="s">
        <v>115</v>
      </c>
      <c r="C34" s="39">
        <v>0.22472559214326979</v>
      </c>
      <c r="D34" s="39">
        <v>0.14515162411602542</v>
      </c>
      <c r="E34" s="39">
        <v>0.14584139264990328</v>
      </c>
      <c r="F34" s="39">
        <v>0.14749034749034748</v>
      </c>
      <c r="G34" s="39">
        <v>0.18879353861686018</v>
      </c>
    </row>
    <row r="35" spans="2:7" ht="20" thickBot="1" x14ac:dyDescent="0.3">
      <c r="B35" s="14"/>
      <c r="C35" s="40"/>
      <c r="D35" s="40"/>
      <c r="E35" s="40"/>
      <c r="F35" s="40"/>
      <c r="G35" s="40"/>
    </row>
    <row r="36" spans="2:7" ht="20" thickBot="1" x14ac:dyDescent="0.3">
      <c r="B36" s="35" t="s">
        <v>116</v>
      </c>
      <c r="C36" s="39">
        <v>4.6379741960331216E-3</v>
      </c>
      <c r="D36" s="39">
        <v>4.281433537096967E-3</v>
      </c>
      <c r="E36" s="39">
        <v>4.0399742101869763E-3</v>
      </c>
      <c r="F36" s="39">
        <v>4.9637065637065641E-3</v>
      </c>
      <c r="G36" s="39">
        <v>5.7092377587077232E-3</v>
      </c>
    </row>
    <row r="37" spans="2:7" ht="20" thickBot="1" x14ac:dyDescent="0.3">
      <c r="B37" s="14"/>
      <c r="C37" s="40"/>
      <c r="D37" s="40"/>
      <c r="E37" s="40"/>
      <c r="F37" s="40"/>
      <c r="G37" s="40"/>
    </row>
    <row r="38" spans="2:7" ht="20" thickBot="1" x14ac:dyDescent="0.3">
      <c r="B38" s="35" t="s">
        <v>117</v>
      </c>
      <c r="C38" s="39">
        <v>0.3207779703446948</v>
      </c>
      <c r="D38" s="39">
        <v>0.40660433896679854</v>
      </c>
      <c r="E38" s="39">
        <v>0.3921985815602837</v>
      </c>
      <c r="F38" s="39">
        <v>0.33576833976833975</v>
      </c>
      <c r="G38" s="39">
        <v>0.30186774356385665</v>
      </c>
    </row>
    <row r="39" spans="2:7" ht="20" thickBot="1" x14ac:dyDescent="0.3">
      <c r="B39" s="14"/>
      <c r="C39" s="40"/>
      <c r="D39" s="40"/>
      <c r="E39" s="40"/>
      <c r="F39" s="40"/>
      <c r="G39" s="40"/>
    </row>
    <row r="40" spans="2:7" ht="20" thickBot="1" x14ac:dyDescent="0.3">
      <c r="B40" s="35" t="s">
        <v>118</v>
      </c>
      <c r="C40" s="39">
        <v>1.0426127812064503</v>
      </c>
      <c r="D40" s="39">
        <v>1.2695263431952664</v>
      </c>
      <c r="E40" s="39">
        <v>1.0103925417075563</v>
      </c>
      <c r="F40" s="39">
        <v>1.5955721192411925</v>
      </c>
      <c r="G40" s="39">
        <v>2.0296929139041708</v>
      </c>
    </row>
    <row r="41" spans="2:7" ht="20" thickBot="1" x14ac:dyDescent="0.3">
      <c r="B41" s="14"/>
      <c r="C41" s="40"/>
      <c r="D41" s="40"/>
      <c r="E41" s="40"/>
      <c r="F41" s="40"/>
      <c r="G41" s="40"/>
    </row>
    <row r="42" spans="2:7" ht="20" thickBot="1" x14ac:dyDescent="0.3">
      <c r="B42" s="35" t="s">
        <v>119</v>
      </c>
      <c r="C42" s="39">
        <v>0.88263046408626999</v>
      </c>
      <c r="D42" s="39">
        <v>1.0095888769027928</v>
      </c>
      <c r="E42" s="39">
        <v>0.96492585428755639</v>
      </c>
      <c r="F42" s="39">
        <v>0.93111969111969117</v>
      </c>
      <c r="G42" s="39">
        <v>0.95608278647147904</v>
      </c>
    </row>
    <row r="43" spans="2:7" ht="20" thickBot="1" x14ac:dyDescent="0.3">
      <c r="B43" s="14"/>
      <c r="C43" s="40"/>
      <c r="D43" s="40"/>
      <c r="E43" s="40"/>
      <c r="F43" s="40"/>
      <c r="G43" s="40"/>
    </row>
    <row r="44" spans="2:7" ht="20" thickBot="1" x14ac:dyDescent="0.3">
      <c r="B44" s="35" t="s">
        <v>120</v>
      </c>
      <c r="C44" s="39">
        <v>25.186981389824023</v>
      </c>
      <c r="D44" s="39">
        <v>42.308789920615162</v>
      </c>
      <c r="E44" s="39">
        <v>52.96349744639091</v>
      </c>
      <c r="F44" s="39">
        <v>16.047092818532818</v>
      </c>
      <c r="G44" s="39">
        <v>16.963092831326293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E4A9-07CD-492C-A012-8C391C48C67A}">
  <sheetPr>
    <pageSetUpPr fitToPage="1"/>
  </sheetPr>
  <dimension ref="A1:P91"/>
  <sheetViews>
    <sheetView showGridLines="0" zoomScale="85" zoomScaleNormal="100" workbookViewId="0"/>
  </sheetViews>
  <sheetFormatPr baseColWidth="10" defaultColWidth="8.83203125" defaultRowHeight="15" x14ac:dyDescent="0.2"/>
  <cols>
    <col min="1" max="1" width="63.83203125" bestFit="1" customWidth="1"/>
    <col min="2" max="2" width="29.1640625" customWidth="1"/>
    <col min="3" max="4" width="19.33203125" customWidth="1"/>
    <col min="5" max="5" width="21" customWidth="1"/>
    <col min="6" max="6" width="20.33203125" customWidth="1"/>
    <col min="7" max="7" width="14.33203125" customWidth="1"/>
    <col min="8" max="8" width="26.5" customWidth="1"/>
    <col min="9" max="9" width="9.83203125" customWidth="1"/>
    <col min="12" max="12" width="34.33203125" bestFit="1" customWidth="1"/>
    <col min="13" max="13" width="31.83203125" bestFit="1" customWidth="1"/>
    <col min="14" max="14" width="33" bestFit="1" customWidth="1"/>
    <col min="15" max="15" width="16.5" bestFit="1" customWidth="1"/>
    <col min="16" max="16" width="26.83203125" bestFit="1" customWidth="1"/>
    <col min="17" max="17" width="7.5" bestFit="1" customWidth="1"/>
    <col min="19" max="19" width="13.1640625" customWidth="1"/>
  </cols>
  <sheetData>
    <row r="1" spans="1:6" ht="21" x14ac:dyDescent="0.25">
      <c r="A1" s="22" t="s">
        <v>96</v>
      </c>
      <c r="B1" s="21">
        <v>2023</v>
      </c>
      <c r="C1" s="21">
        <v>2022</v>
      </c>
      <c r="D1" s="21">
        <v>2021</v>
      </c>
      <c r="E1" s="21">
        <v>2020</v>
      </c>
      <c r="F1" s="21">
        <v>2019</v>
      </c>
    </row>
    <row r="2" spans="1:6" ht="19" x14ac:dyDescent="0.2">
      <c r="A2" s="23" t="s">
        <v>5</v>
      </c>
      <c r="B2" s="17">
        <v>40379</v>
      </c>
      <c r="C2" s="17">
        <v>36145</v>
      </c>
      <c r="D2" s="17">
        <v>33934</v>
      </c>
      <c r="E2" s="17">
        <v>28108</v>
      </c>
      <c r="F2" s="17">
        <v>26985</v>
      </c>
    </row>
    <row r="3" spans="1:6" ht="19" x14ac:dyDescent="0.2">
      <c r="A3" s="23" t="s">
        <v>26</v>
      </c>
      <c r="B3" s="17">
        <v>31212</v>
      </c>
      <c r="C3" s="17">
        <v>27722</v>
      </c>
      <c r="D3" s="17">
        <v>-26451</v>
      </c>
      <c r="E3" s="17">
        <v>-22079</v>
      </c>
      <c r="F3" s="17">
        <v>-21303</v>
      </c>
    </row>
    <row r="4" spans="1:6" ht="19" x14ac:dyDescent="0.2">
      <c r="A4" s="23" t="s">
        <v>27</v>
      </c>
      <c r="B4" s="17">
        <v>9167</v>
      </c>
      <c r="C4" s="17">
        <v>8423</v>
      </c>
      <c r="D4" s="17">
        <v>7483</v>
      </c>
      <c r="E4" s="17">
        <v>6029</v>
      </c>
      <c r="F4" s="17">
        <v>5682</v>
      </c>
    </row>
    <row r="5" spans="1:6" ht="19" x14ac:dyDescent="0.2">
      <c r="A5" s="23" t="s">
        <v>28</v>
      </c>
      <c r="B5" s="17">
        <v>4717</v>
      </c>
      <c r="C5" s="17">
        <v>3999</v>
      </c>
      <c r="D5" s="17">
        <v>3477</v>
      </c>
      <c r="E5" s="17">
        <v>3079</v>
      </c>
      <c r="F5" s="17">
        <v>2997</v>
      </c>
    </row>
    <row r="6" spans="1:6" ht="19" x14ac:dyDescent="0.2">
      <c r="A6" s="23" t="s">
        <v>6</v>
      </c>
      <c r="B6" s="17">
        <v>4450</v>
      </c>
      <c r="C6" s="17">
        <v>4423</v>
      </c>
      <c r="D6" s="17">
        <v>4006</v>
      </c>
      <c r="E6" s="17">
        <v>2950</v>
      </c>
      <c r="F6" s="17">
        <v>2685</v>
      </c>
    </row>
    <row r="7" spans="1:6" ht="19" x14ac:dyDescent="0.2">
      <c r="A7" s="23" t="s">
        <v>29</v>
      </c>
      <c r="B7" s="17">
        <v>-947</v>
      </c>
      <c r="C7" s="17">
        <v>-868</v>
      </c>
      <c r="D7" s="17">
        <v>-835</v>
      </c>
      <c r="E7" s="17">
        <v>-727</v>
      </c>
      <c r="F7" s="17">
        <v>-808</v>
      </c>
    </row>
    <row r="8" spans="1:6" ht="19" x14ac:dyDescent="0.2">
      <c r="A8" s="23" t="s">
        <v>30</v>
      </c>
      <c r="B8" s="17">
        <v>3503</v>
      </c>
      <c r="C8" s="17">
        <v>3555</v>
      </c>
      <c r="D8" s="17">
        <v>3170</v>
      </c>
      <c r="E8" s="17">
        <v>2222</v>
      </c>
      <c r="F8" s="17">
        <v>1877</v>
      </c>
    </row>
    <row r="9" spans="1:6" ht="19" x14ac:dyDescent="0.2">
      <c r="A9" s="23" t="s">
        <v>31</v>
      </c>
      <c r="B9" s="17">
        <v>3527</v>
      </c>
      <c r="C9" s="17">
        <v>3499</v>
      </c>
      <c r="D9" s="17">
        <v>2990</v>
      </c>
      <c r="E9" s="17">
        <v>2109</v>
      </c>
      <c r="F9" s="17">
        <v>1740</v>
      </c>
    </row>
    <row r="10" spans="1:6" ht="19" x14ac:dyDescent="0.2">
      <c r="A10" s="23" t="s">
        <v>32</v>
      </c>
      <c r="B10" s="17">
        <v>-1739</v>
      </c>
      <c r="C10" s="17">
        <v>-1712</v>
      </c>
      <c r="D10" s="17">
        <v>-1493</v>
      </c>
      <c r="E10" s="17">
        <v>-1020</v>
      </c>
      <c r="F10" s="17">
        <v>-816</v>
      </c>
    </row>
    <row r="11" spans="1:6" ht="19" x14ac:dyDescent="0.2">
      <c r="A11" s="23" t="s">
        <v>33</v>
      </c>
      <c r="B11" s="17">
        <v>1788</v>
      </c>
      <c r="C11" s="17">
        <v>1787</v>
      </c>
      <c r="D11" s="17">
        <v>1497</v>
      </c>
      <c r="E11" s="17">
        <v>1089</v>
      </c>
      <c r="F11" s="17">
        <v>925</v>
      </c>
    </row>
    <row r="12" spans="1:6" ht="19" x14ac:dyDescent="0.2">
      <c r="A12" s="23" t="s">
        <v>35</v>
      </c>
      <c r="B12" s="17">
        <v>540</v>
      </c>
      <c r="C12" s="17">
        <v>540</v>
      </c>
      <c r="D12" s="17">
        <v>540</v>
      </c>
      <c r="E12" s="17">
        <v>180</v>
      </c>
      <c r="F12" s="17">
        <v>180</v>
      </c>
    </row>
    <row r="13" spans="1:6" ht="19" x14ac:dyDescent="0.2">
      <c r="A13" s="24" t="s">
        <v>131</v>
      </c>
      <c r="B13" s="18">
        <f>B14*B12</f>
        <v>192294</v>
      </c>
      <c r="C13" s="18">
        <f t="shared" ref="C13:F13" si="0">C14*C12</f>
        <v>280098</v>
      </c>
      <c r="D13" s="18">
        <f t="shared" si="0"/>
        <v>343224</v>
      </c>
      <c r="E13" s="18">
        <f t="shared" si="0"/>
        <v>70848</v>
      </c>
      <c r="F13" s="18">
        <f t="shared" si="0"/>
        <v>58194</v>
      </c>
    </row>
    <row r="14" spans="1:6" ht="19" x14ac:dyDescent="0.2">
      <c r="A14" s="23" t="s">
        <v>132</v>
      </c>
      <c r="B14" s="19">
        <v>356.1</v>
      </c>
      <c r="C14" s="19">
        <v>518.70000000000005</v>
      </c>
      <c r="D14" s="19">
        <v>635.6</v>
      </c>
      <c r="E14" s="19">
        <v>393.6</v>
      </c>
      <c r="F14" s="19">
        <v>323.3</v>
      </c>
    </row>
    <row r="15" spans="1:6" ht="19" x14ac:dyDescent="0.2">
      <c r="A15" s="23" t="s">
        <v>133</v>
      </c>
      <c r="B15" s="19">
        <f>B13/B51</f>
        <v>38.282699581923154</v>
      </c>
      <c r="C15" s="19">
        <f t="shared" ref="C15:F15" si="1">C13/C51</f>
        <v>66.29538461538462</v>
      </c>
      <c r="D15" s="19">
        <f t="shared" si="1"/>
        <v>84.206084396467119</v>
      </c>
      <c r="E15" s="19">
        <f t="shared" si="1"/>
        <v>23.04</v>
      </c>
      <c r="F15" s="19">
        <f t="shared" si="1"/>
        <v>24.627168853152771</v>
      </c>
    </row>
    <row r="16" spans="1:6" ht="19" x14ac:dyDescent="0.2">
      <c r="A16" s="23" t="s">
        <v>36</v>
      </c>
      <c r="B16" s="17">
        <v>1669</v>
      </c>
      <c r="C16" s="17">
        <v>1526</v>
      </c>
      <c r="D16" s="17">
        <v>1643</v>
      </c>
      <c r="E16" s="17">
        <v>1445</v>
      </c>
      <c r="F16" s="17">
        <v>1426</v>
      </c>
    </row>
    <row r="17" spans="1:14" ht="19" x14ac:dyDescent="0.2">
      <c r="A17" s="23" t="s">
        <v>37</v>
      </c>
      <c r="B17" s="17">
        <v>32802</v>
      </c>
      <c r="C17" s="17">
        <v>29530</v>
      </c>
      <c r="D17" s="17">
        <v>29078</v>
      </c>
      <c r="E17" s="17">
        <v>24250</v>
      </c>
      <c r="F17" s="17">
        <v>22630</v>
      </c>
    </row>
    <row r="18" spans="1:14" ht="19" x14ac:dyDescent="0.2">
      <c r="A18" s="23" t="s">
        <v>52</v>
      </c>
      <c r="B18" s="17">
        <v>33.11</v>
      </c>
      <c r="C18" s="17">
        <v>33.1</v>
      </c>
      <c r="D18" s="17">
        <v>27.72</v>
      </c>
      <c r="E18" s="17">
        <v>20.16</v>
      </c>
      <c r="F18" s="17">
        <v>17.12</v>
      </c>
    </row>
    <row r="19" spans="1:14" ht="19" x14ac:dyDescent="0.2">
      <c r="A19" s="23" t="s">
        <v>54</v>
      </c>
      <c r="B19" s="17">
        <v>540</v>
      </c>
      <c r="C19" s="17">
        <v>1080</v>
      </c>
      <c r="D19" s="17">
        <v>1485</v>
      </c>
      <c r="E19" s="17">
        <v>1080</v>
      </c>
      <c r="F19" s="17">
        <v>720</v>
      </c>
    </row>
    <row r="20" spans="1:14" ht="19" x14ac:dyDescent="0.2">
      <c r="A20" s="23" t="s">
        <v>59</v>
      </c>
      <c r="B20" s="17" t="s">
        <v>23</v>
      </c>
      <c r="C20" s="17" t="s">
        <v>23</v>
      </c>
      <c r="D20" s="17" t="s">
        <v>23</v>
      </c>
      <c r="E20" s="17" t="s">
        <v>60</v>
      </c>
      <c r="F20" s="17" t="s">
        <v>23</v>
      </c>
    </row>
    <row r="21" spans="1:14" ht="19" x14ac:dyDescent="0.2">
      <c r="A21" s="23" t="s">
        <v>61</v>
      </c>
      <c r="B21" s="17">
        <v>540000000</v>
      </c>
      <c r="C21" s="17">
        <v>540000000</v>
      </c>
      <c r="D21" s="17">
        <v>540000000</v>
      </c>
      <c r="E21" s="17">
        <v>180000000</v>
      </c>
      <c r="F21" s="17">
        <v>180000000</v>
      </c>
      <c r="H21" s="4"/>
      <c r="K21" s="13"/>
    </row>
    <row r="22" spans="1:14" ht="19" x14ac:dyDescent="0.2">
      <c r="A22" s="23" t="s">
        <v>65</v>
      </c>
      <c r="B22" s="17">
        <v>10</v>
      </c>
      <c r="C22" s="17">
        <v>20</v>
      </c>
      <c r="D22" s="17">
        <v>27.5</v>
      </c>
      <c r="E22" s="17">
        <v>60</v>
      </c>
      <c r="F22" s="17">
        <v>40</v>
      </c>
      <c r="K22" s="13"/>
    </row>
    <row r="23" spans="1:14" ht="19" x14ac:dyDescent="0.2">
      <c r="A23" s="23" t="s">
        <v>72</v>
      </c>
      <c r="B23" s="17">
        <v>15.67</v>
      </c>
      <c r="C23" s="17">
        <v>15.65</v>
      </c>
      <c r="D23" s="17">
        <v>23</v>
      </c>
      <c r="E23" s="17">
        <v>58.57</v>
      </c>
      <c r="F23" s="17">
        <v>56.64</v>
      </c>
      <c r="K23" s="13"/>
    </row>
    <row r="24" spans="1:14" ht="19" x14ac:dyDescent="0.2">
      <c r="A24" s="23" t="s">
        <v>77</v>
      </c>
      <c r="B24" s="17">
        <v>0.02</v>
      </c>
      <c r="C24" s="17">
        <v>0.04</v>
      </c>
      <c r="D24" s="17">
        <v>0.04</v>
      </c>
      <c r="E24" s="17">
        <v>0.05</v>
      </c>
      <c r="F24" s="17">
        <v>0.04</v>
      </c>
      <c r="J24" s="2"/>
      <c r="K24" s="13"/>
      <c r="L24" s="2"/>
      <c r="M24" s="2"/>
      <c r="N24" s="2"/>
    </row>
    <row r="25" spans="1:14" ht="19" x14ac:dyDescent="0.2">
      <c r="A25" s="23" t="s">
        <v>40</v>
      </c>
      <c r="B25" s="17">
        <v>2513</v>
      </c>
      <c r="C25" s="17">
        <v>4076</v>
      </c>
      <c r="D25" s="17">
        <v>2009</v>
      </c>
      <c r="E25" s="17">
        <v>2276</v>
      </c>
      <c r="F25" s="17">
        <v>2482</v>
      </c>
      <c r="J25" s="2"/>
      <c r="K25" s="13"/>
      <c r="L25" s="2"/>
      <c r="M25" s="2"/>
      <c r="N25" s="2"/>
    </row>
    <row r="26" spans="1:14" ht="19" x14ac:dyDescent="0.2">
      <c r="A26" s="23" t="s">
        <v>125</v>
      </c>
      <c r="B26" s="17">
        <v>230</v>
      </c>
      <c r="C26" s="17">
        <v>230</v>
      </c>
      <c r="D26" s="17">
        <v>230</v>
      </c>
      <c r="E26" s="17">
        <v>230</v>
      </c>
      <c r="F26" s="17">
        <v>230</v>
      </c>
      <c r="J26" s="2"/>
      <c r="K26" s="13"/>
      <c r="L26" s="2"/>
      <c r="M26" s="2"/>
      <c r="N26" s="2"/>
    </row>
    <row r="27" spans="1:14" ht="19" x14ac:dyDescent="0.2">
      <c r="A27" s="23" t="s">
        <v>126</v>
      </c>
      <c r="B27" s="19">
        <v>8.14</v>
      </c>
      <c r="C27" s="19">
        <v>-8.75</v>
      </c>
      <c r="D27" s="19">
        <v>7.33</v>
      </c>
      <c r="E27" s="19">
        <v>54.57</v>
      </c>
      <c r="F27" s="19">
        <v>5.1100000000000003</v>
      </c>
      <c r="J27" s="2"/>
      <c r="K27" s="13"/>
      <c r="L27" s="2"/>
      <c r="M27" s="2"/>
      <c r="N27" s="2"/>
    </row>
    <row r="28" spans="1:14" ht="19" x14ac:dyDescent="0.2">
      <c r="A28" s="23" t="s">
        <v>127</v>
      </c>
      <c r="B28" s="19">
        <v>-30.5</v>
      </c>
      <c r="C28" s="19">
        <v>-71</v>
      </c>
      <c r="D28" s="19">
        <v>3595</v>
      </c>
      <c r="E28" s="19">
        <v>2484</v>
      </c>
      <c r="F28" s="19">
        <v>255.5</v>
      </c>
      <c r="J28" s="2"/>
      <c r="K28" s="13"/>
      <c r="L28" s="2"/>
      <c r="M28" s="2"/>
      <c r="N28" s="2"/>
    </row>
    <row r="29" spans="1:14" ht="19" x14ac:dyDescent="0.2">
      <c r="A29" s="23" t="s">
        <v>122</v>
      </c>
      <c r="B29" s="19">
        <v>3331.6</v>
      </c>
      <c r="C29" s="19">
        <v>3392.3</v>
      </c>
      <c r="D29" s="19">
        <v>3041.5</v>
      </c>
      <c r="E29" s="19">
        <v>2174.1</v>
      </c>
      <c r="F29" s="19">
        <v>1794</v>
      </c>
      <c r="J29" s="2"/>
      <c r="K29" s="2"/>
      <c r="L29" s="2"/>
      <c r="M29" s="2"/>
      <c r="N29" s="2"/>
    </row>
    <row r="30" spans="1:14" ht="19" x14ac:dyDescent="0.2">
      <c r="A30" s="23" t="s">
        <v>41</v>
      </c>
      <c r="B30" s="17">
        <v>-1489</v>
      </c>
      <c r="C30" s="17">
        <v>-1352</v>
      </c>
      <c r="D30" s="17">
        <v>-1200</v>
      </c>
      <c r="E30" s="17">
        <v>-784</v>
      </c>
      <c r="F30" s="17">
        <v>-892</v>
      </c>
      <c r="H30" s="2"/>
      <c r="J30" s="2"/>
      <c r="K30" s="2"/>
      <c r="L30" s="2"/>
      <c r="M30" s="2"/>
      <c r="N30" s="2"/>
    </row>
    <row r="31" spans="1:14" ht="19" x14ac:dyDescent="0.2">
      <c r="A31" s="23" t="s">
        <v>121</v>
      </c>
      <c r="B31" s="19">
        <v>58.3</v>
      </c>
      <c r="C31" s="19">
        <v>56.4</v>
      </c>
      <c r="D31" s="19">
        <v>37.200000000000003</v>
      </c>
      <c r="E31" s="19">
        <v>32.700000000000003</v>
      </c>
      <c r="F31" s="19">
        <v>58.2</v>
      </c>
      <c r="H31" s="2"/>
      <c r="J31" s="2"/>
      <c r="K31" s="2"/>
      <c r="L31" s="2"/>
      <c r="M31" s="2"/>
      <c r="N31" s="2"/>
    </row>
    <row r="32" spans="1:14" ht="19" x14ac:dyDescent="0.2">
      <c r="A32" s="23" t="s">
        <v>42</v>
      </c>
      <c r="B32" s="17">
        <v>-4</v>
      </c>
      <c r="C32" s="17">
        <v>-21</v>
      </c>
      <c r="D32" s="17">
        <v>-14</v>
      </c>
      <c r="E32" s="17">
        <v>10</v>
      </c>
      <c r="F32" s="17">
        <v>-31</v>
      </c>
      <c r="H32" s="11"/>
      <c r="I32" s="11"/>
      <c r="J32" s="12"/>
      <c r="K32" s="2"/>
      <c r="L32" s="2"/>
      <c r="M32" s="2"/>
      <c r="N32" s="2"/>
    </row>
    <row r="33" spans="1:16" ht="19" x14ac:dyDescent="0.2">
      <c r="A33" s="23" t="s">
        <v>123</v>
      </c>
      <c r="B33" s="17">
        <v>3661</v>
      </c>
      <c r="C33" s="17">
        <v>3333</v>
      </c>
      <c r="D33" s="17">
        <v>3753</v>
      </c>
      <c r="E33" s="17">
        <v>2491</v>
      </c>
      <c r="F33" s="17">
        <v>1887</v>
      </c>
      <c r="H33" s="11"/>
      <c r="I33" s="11"/>
      <c r="J33" s="12"/>
      <c r="K33" s="2"/>
      <c r="L33" s="2"/>
      <c r="M33" s="2"/>
      <c r="N33" s="2"/>
    </row>
    <row r="34" spans="1:16" ht="19" x14ac:dyDescent="0.2">
      <c r="A34" s="23" t="s">
        <v>124</v>
      </c>
      <c r="B34" s="17">
        <v>150</v>
      </c>
      <c r="C34" s="17">
        <v>140</v>
      </c>
      <c r="D34" s="17">
        <v>130</v>
      </c>
      <c r="E34" s="17">
        <v>120</v>
      </c>
      <c r="F34" s="17">
        <v>110</v>
      </c>
      <c r="H34" s="11"/>
      <c r="I34" s="11"/>
      <c r="J34" s="12"/>
      <c r="K34" s="2"/>
      <c r="L34" s="2"/>
      <c r="M34" s="2"/>
      <c r="N34" s="2"/>
    </row>
    <row r="35" spans="1:16" ht="19" x14ac:dyDescent="0.2">
      <c r="A35" s="23" t="s">
        <v>128</v>
      </c>
      <c r="B35" s="19">
        <v>3411</v>
      </c>
      <c r="C35" s="19">
        <v>3069.5</v>
      </c>
      <c r="D35" s="19">
        <v>2719.5</v>
      </c>
      <c r="E35" s="19">
        <v>2454.5</v>
      </c>
      <c r="F35" s="19">
        <v>1180.5</v>
      </c>
      <c r="H35" s="11"/>
      <c r="I35" s="11"/>
      <c r="J35" s="12"/>
      <c r="K35" s="2"/>
      <c r="L35" s="2"/>
      <c r="M35" s="2"/>
      <c r="N35" s="2"/>
    </row>
    <row r="36" spans="1:16" ht="19" x14ac:dyDescent="0.2">
      <c r="A36" s="23" t="s">
        <v>43</v>
      </c>
      <c r="B36" s="17">
        <v>1021</v>
      </c>
      <c r="C36" s="17">
        <v>2702</v>
      </c>
      <c r="D36" s="17">
        <v>795</v>
      </c>
      <c r="E36" s="17">
        <v>1502</v>
      </c>
      <c r="F36" s="17">
        <v>1559</v>
      </c>
      <c r="H36" s="11"/>
      <c r="I36" s="11"/>
      <c r="J36" s="12"/>
      <c r="K36" s="2"/>
      <c r="L36" s="2"/>
      <c r="M36" s="2"/>
      <c r="N36" s="2"/>
    </row>
    <row r="37" spans="1:16" ht="19" x14ac:dyDescent="0.2">
      <c r="A37" s="23" t="s">
        <v>44</v>
      </c>
      <c r="B37" s="17">
        <v>-610</v>
      </c>
      <c r="C37" s="17">
        <v>-606</v>
      </c>
      <c r="D37" s="17">
        <v>-530</v>
      </c>
      <c r="E37" s="17">
        <v>-139</v>
      </c>
      <c r="F37" s="17">
        <v>-319</v>
      </c>
      <c r="H37" s="11"/>
      <c r="I37" s="11"/>
      <c r="J37" s="12"/>
      <c r="K37" s="2"/>
      <c r="L37" s="11"/>
      <c r="M37" s="11"/>
      <c r="N37" s="11"/>
    </row>
    <row r="38" spans="1:16" ht="19" x14ac:dyDescent="0.2">
      <c r="A38" s="23" t="s">
        <v>45</v>
      </c>
      <c r="B38" s="17">
        <v>34</v>
      </c>
      <c r="C38" s="17">
        <v>-1765</v>
      </c>
      <c r="D38" s="17">
        <v>-713</v>
      </c>
      <c r="E38" s="17">
        <v>-1314</v>
      </c>
      <c r="F38" s="17">
        <v>-786</v>
      </c>
      <c r="H38" s="11"/>
      <c r="I38" s="11"/>
      <c r="J38" s="12"/>
      <c r="K38" s="11"/>
      <c r="L38" s="11"/>
      <c r="M38" s="11"/>
      <c r="N38" s="11"/>
      <c r="O38" s="13"/>
      <c r="P38" s="13"/>
    </row>
    <row r="39" spans="1:16" ht="19" x14ac:dyDescent="0.2">
      <c r="A39" s="23" t="s">
        <v>46</v>
      </c>
      <c r="B39" s="17">
        <v>444</v>
      </c>
      <c r="C39" s="17">
        <v>331</v>
      </c>
      <c r="D39" s="17">
        <v>-448</v>
      </c>
      <c r="E39" s="17">
        <v>48</v>
      </c>
      <c r="F39" s="17">
        <v>455</v>
      </c>
      <c r="H39" s="11"/>
      <c r="I39" s="11"/>
      <c r="J39" s="11"/>
      <c r="K39" s="11"/>
      <c r="L39" s="11"/>
      <c r="M39" s="11"/>
      <c r="N39" s="11"/>
      <c r="O39" s="16"/>
      <c r="P39" s="10"/>
    </row>
    <row r="40" spans="1:16" ht="19" x14ac:dyDescent="0.2">
      <c r="A40" s="23" t="s">
        <v>47</v>
      </c>
      <c r="B40" s="17">
        <v>491</v>
      </c>
      <c r="C40" s="17">
        <v>141</v>
      </c>
      <c r="D40" s="17">
        <v>587</v>
      </c>
      <c r="E40" s="17">
        <v>539</v>
      </c>
      <c r="F40" s="17">
        <v>83</v>
      </c>
      <c r="J40" s="11"/>
      <c r="K40" s="11"/>
      <c r="L40" s="11"/>
      <c r="M40" s="11"/>
      <c r="N40" s="11"/>
      <c r="O40" s="16"/>
      <c r="P40" s="11"/>
    </row>
    <row r="41" spans="1:16" ht="19" x14ac:dyDescent="0.2">
      <c r="A41" s="23" t="s">
        <v>48</v>
      </c>
      <c r="B41" s="17">
        <v>944</v>
      </c>
      <c r="C41" s="17">
        <v>491</v>
      </c>
      <c r="D41" s="17">
        <v>141</v>
      </c>
      <c r="E41" s="17">
        <v>587</v>
      </c>
      <c r="F41" s="17">
        <v>539</v>
      </c>
      <c r="J41" s="11"/>
      <c r="K41" s="11"/>
      <c r="L41" s="11"/>
      <c r="M41" s="11"/>
      <c r="N41" s="11"/>
      <c r="O41" s="16"/>
      <c r="P41" s="11"/>
    </row>
    <row r="42" spans="1:16" ht="19" x14ac:dyDescent="0.2">
      <c r="A42" s="23" t="s">
        <v>86</v>
      </c>
      <c r="B42" s="17">
        <v>4011</v>
      </c>
      <c r="C42" s="17">
        <v>3858</v>
      </c>
      <c r="D42" s="17">
        <v>3346</v>
      </c>
      <c r="E42" s="17">
        <v>3101</v>
      </c>
      <c r="F42" s="17">
        <v>3120</v>
      </c>
      <c r="J42" s="11"/>
      <c r="K42" s="11"/>
      <c r="L42" s="16"/>
      <c r="M42" s="10"/>
      <c r="N42" s="16"/>
      <c r="O42" s="16"/>
      <c r="P42" s="11"/>
    </row>
    <row r="43" spans="1:16" ht="19" x14ac:dyDescent="0.2">
      <c r="A43" s="23" t="s">
        <v>87</v>
      </c>
      <c r="B43" s="17">
        <v>6375</v>
      </c>
      <c r="C43" s="17">
        <v>4485</v>
      </c>
      <c r="D43" s="17">
        <v>4409</v>
      </c>
      <c r="E43" s="17">
        <v>3374</v>
      </c>
      <c r="F43" s="17">
        <v>2823</v>
      </c>
      <c r="H43" s="7"/>
      <c r="J43" s="11"/>
      <c r="K43" s="11"/>
      <c r="L43" s="10"/>
      <c r="M43" s="16"/>
      <c r="N43" s="11"/>
      <c r="O43" s="16"/>
      <c r="P43" s="11"/>
    </row>
    <row r="44" spans="1:16" ht="19" x14ac:dyDescent="0.2">
      <c r="A44" s="23" t="s">
        <v>129</v>
      </c>
      <c r="B44" s="19">
        <v>10386</v>
      </c>
      <c r="C44" s="19">
        <v>8343</v>
      </c>
      <c r="D44" s="19">
        <v>7755</v>
      </c>
      <c r="E44" s="19">
        <v>6475</v>
      </c>
      <c r="F44" s="19">
        <v>5943</v>
      </c>
      <c r="H44" s="7"/>
      <c r="J44" s="11"/>
      <c r="K44" s="11"/>
      <c r="L44" s="10"/>
      <c r="M44" s="16"/>
      <c r="N44" s="11"/>
      <c r="O44" s="16"/>
      <c r="P44" s="11"/>
    </row>
    <row r="45" spans="1:16" ht="19" x14ac:dyDescent="0.2">
      <c r="A45" s="24" t="s">
        <v>88</v>
      </c>
      <c r="B45" s="27">
        <f>SUM(B42:B43)</f>
        <v>10386</v>
      </c>
      <c r="C45" s="27">
        <f t="shared" ref="C45:F45" si="2">SUM(C42:C43)</f>
        <v>8343</v>
      </c>
      <c r="D45" s="27">
        <f t="shared" si="2"/>
        <v>7755</v>
      </c>
      <c r="E45" s="27">
        <f t="shared" si="2"/>
        <v>6475</v>
      </c>
      <c r="F45" s="27">
        <f t="shared" si="2"/>
        <v>5943</v>
      </c>
      <c r="H45" s="8"/>
      <c r="J45" s="11"/>
      <c r="K45" s="11"/>
      <c r="L45" s="2"/>
      <c r="M45" s="2"/>
      <c r="N45" s="2"/>
    </row>
    <row r="46" spans="1:16" ht="19" x14ac:dyDescent="0.2">
      <c r="A46" s="23" t="s">
        <v>89</v>
      </c>
      <c r="B46" s="17">
        <v>0.05</v>
      </c>
      <c r="C46" s="17">
        <v>0.06</v>
      </c>
      <c r="D46" s="17">
        <v>7.0000000000000007E-2</v>
      </c>
      <c r="E46" s="17">
        <v>0.03</v>
      </c>
      <c r="F46" s="17">
        <v>0.03</v>
      </c>
      <c r="J46" s="2"/>
      <c r="K46" s="2"/>
      <c r="L46" s="11"/>
      <c r="M46" s="11"/>
      <c r="N46" s="11"/>
      <c r="O46" s="11"/>
      <c r="P46" s="11"/>
    </row>
    <row r="47" spans="1:16" ht="19" x14ac:dyDescent="0.2">
      <c r="A47" s="23" t="s">
        <v>90</v>
      </c>
      <c r="B47" s="19">
        <v>48.17</v>
      </c>
      <c r="C47" s="19">
        <v>35.72</v>
      </c>
      <c r="D47" s="19">
        <v>31.33</v>
      </c>
      <c r="E47" s="19">
        <v>32.14</v>
      </c>
      <c r="F47" s="19">
        <v>33.93</v>
      </c>
      <c r="J47" s="2"/>
      <c r="K47" s="2"/>
      <c r="L47" s="13"/>
      <c r="M47" s="13"/>
      <c r="N47" s="16"/>
      <c r="O47" s="11"/>
      <c r="P47" s="11"/>
    </row>
    <row r="48" spans="1:16" ht="19" x14ac:dyDescent="0.2">
      <c r="A48" s="23" t="s">
        <v>13</v>
      </c>
      <c r="B48" s="17">
        <v>5237.0439999999999</v>
      </c>
      <c r="C48" s="17">
        <v>5363.7488000000003</v>
      </c>
      <c r="D48" s="19">
        <v>4118.3599999999997</v>
      </c>
      <c r="E48" s="17">
        <v>4906.3842666666669</v>
      </c>
      <c r="F48" s="17">
        <v>4796.1643555555556</v>
      </c>
      <c r="J48" s="2"/>
      <c r="K48" s="2"/>
      <c r="L48" s="11"/>
      <c r="M48" s="11"/>
      <c r="N48" s="2"/>
    </row>
    <row r="49" spans="1:14" ht="19" x14ac:dyDescent="0.2">
      <c r="A49" s="23" t="s">
        <v>91</v>
      </c>
      <c r="B49" s="17">
        <v>982</v>
      </c>
      <c r="C49" s="17">
        <v>951</v>
      </c>
      <c r="D49" s="17">
        <v>798</v>
      </c>
      <c r="E49" s="17">
        <v>656</v>
      </c>
      <c r="F49" s="17">
        <v>662</v>
      </c>
      <c r="J49" s="2"/>
      <c r="K49" s="2"/>
      <c r="L49" s="11"/>
      <c r="M49" s="11"/>
      <c r="N49" s="2"/>
    </row>
    <row r="50" spans="1:14" ht="19" x14ac:dyDescent="0.2">
      <c r="A50" s="23" t="s">
        <v>92</v>
      </c>
      <c r="B50" s="17">
        <v>4041</v>
      </c>
      <c r="C50" s="17">
        <v>3274</v>
      </c>
      <c r="D50" s="17">
        <v>3278</v>
      </c>
      <c r="E50" s="17">
        <v>2419</v>
      </c>
      <c r="F50" s="17">
        <v>1701</v>
      </c>
      <c r="J50" s="2"/>
      <c r="K50" s="2"/>
      <c r="L50" s="11"/>
      <c r="M50" s="11"/>
      <c r="N50" s="2"/>
    </row>
    <row r="51" spans="1:14" ht="19" x14ac:dyDescent="0.2">
      <c r="A51" s="24" t="s">
        <v>93</v>
      </c>
      <c r="B51" s="18">
        <f>SUM(B49:B50)</f>
        <v>5023</v>
      </c>
      <c r="C51" s="18">
        <f t="shared" ref="C51:F51" si="3">SUM(C49:C50)</f>
        <v>4225</v>
      </c>
      <c r="D51" s="18">
        <f t="shared" si="3"/>
        <v>4076</v>
      </c>
      <c r="E51" s="18">
        <f t="shared" si="3"/>
        <v>3075</v>
      </c>
      <c r="F51" s="18">
        <f t="shared" si="3"/>
        <v>2363</v>
      </c>
      <c r="J51" s="2"/>
      <c r="K51" s="2"/>
      <c r="L51" s="11"/>
      <c r="M51" s="11"/>
      <c r="N51" s="2"/>
    </row>
    <row r="52" spans="1:14" ht="19" x14ac:dyDescent="0.2">
      <c r="A52" s="24" t="s">
        <v>94</v>
      </c>
      <c r="B52" s="18">
        <f>SUM(B51,B48)</f>
        <v>10260.044</v>
      </c>
      <c r="C52" s="18">
        <f t="shared" ref="C52:F52" si="4">SUM(C51,C48)</f>
        <v>9588.7488000000012</v>
      </c>
      <c r="D52" s="18">
        <f t="shared" si="4"/>
        <v>8194.36</v>
      </c>
      <c r="E52" s="18">
        <f t="shared" si="4"/>
        <v>7981.3842666666669</v>
      </c>
      <c r="F52" s="18">
        <f t="shared" si="4"/>
        <v>7159.1643555555556</v>
      </c>
      <c r="J52" s="2"/>
      <c r="K52" s="2"/>
      <c r="L52" s="11"/>
      <c r="M52" s="11"/>
      <c r="N52" s="2"/>
    </row>
    <row r="53" spans="1:14" ht="19" x14ac:dyDescent="0.2">
      <c r="A53" s="24" t="s">
        <v>130</v>
      </c>
      <c r="B53" s="18">
        <f>B43-B50</f>
        <v>2334</v>
      </c>
      <c r="C53" s="18">
        <f t="shared" ref="C53:F53" si="5">C43-C50</f>
        <v>1211</v>
      </c>
      <c r="D53" s="18">
        <f t="shared" si="5"/>
        <v>1131</v>
      </c>
      <c r="E53" s="18">
        <f t="shared" si="5"/>
        <v>955</v>
      </c>
      <c r="F53" s="18">
        <f t="shared" si="5"/>
        <v>1122</v>
      </c>
      <c r="J53" s="2"/>
      <c r="K53" s="2"/>
      <c r="L53" s="2"/>
      <c r="M53" s="2"/>
      <c r="N53" s="2"/>
    </row>
    <row r="54" spans="1:14" ht="19" x14ac:dyDescent="0.2">
      <c r="A54" s="26" t="s">
        <v>99</v>
      </c>
      <c r="B54" s="28">
        <f>B6/B4</f>
        <v>0.4854368932038835</v>
      </c>
      <c r="C54" s="28">
        <f t="shared" ref="C54:F54" si="6">C6/C4</f>
        <v>0.52510981835450554</v>
      </c>
      <c r="D54" s="28">
        <f t="shared" si="6"/>
        <v>0.53534678604837627</v>
      </c>
      <c r="E54" s="28">
        <f t="shared" si="6"/>
        <v>0.48930170840935477</v>
      </c>
      <c r="F54" s="28">
        <f t="shared" si="6"/>
        <v>0.47254487856388594</v>
      </c>
    </row>
    <row r="55" spans="1:14" ht="19" x14ac:dyDescent="0.2">
      <c r="A55" s="26" t="s">
        <v>100</v>
      </c>
      <c r="B55" s="28">
        <f>B8/B4</f>
        <v>0.38213155885240535</v>
      </c>
      <c r="C55" s="28">
        <f t="shared" ref="C55:F55" si="7">C8/C4</f>
        <v>0.42205864893743322</v>
      </c>
      <c r="D55" s="28">
        <f t="shared" si="7"/>
        <v>0.42362688761192036</v>
      </c>
      <c r="E55" s="28">
        <f t="shared" si="7"/>
        <v>0.36855199867308014</v>
      </c>
      <c r="F55" s="28">
        <f t="shared" si="7"/>
        <v>0.33034142907426961</v>
      </c>
    </row>
    <row r="56" spans="1:14" ht="19" x14ac:dyDescent="0.2">
      <c r="A56" s="26" t="s">
        <v>101</v>
      </c>
      <c r="B56" s="28">
        <f>B11/B4</f>
        <v>0.19504745281989747</v>
      </c>
      <c r="C56" s="28">
        <f t="shared" ref="C56:F56" si="8">C11/C4</f>
        <v>0.21215718865012465</v>
      </c>
      <c r="D56" s="28">
        <f t="shared" si="8"/>
        <v>0.20005345449685955</v>
      </c>
      <c r="E56" s="28">
        <f t="shared" si="8"/>
        <v>0.18062696964670757</v>
      </c>
      <c r="F56" s="28">
        <f t="shared" si="8"/>
        <v>0.16279479056670187</v>
      </c>
    </row>
    <row r="57" spans="1:14" ht="19" x14ac:dyDescent="0.2">
      <c r="A57" s="26" t="s">
        <v>102</v>
      </c>
      <c r="B57" s="28">
        <f>B11/B45</f>
        <v>0.17215482380127095</v>
      </c>
      <c r="C57" s="28">
        <f t="shared" ref="C57:F57" si="9">C11/C45</f>
        <v>0.21419153781613329</v>
      </c>
      <c r="D57" s="28">
        <f t="shared" si="9"/>
        <v>0.19303675048355901</v>
      </c>
      <c r="E57" s="28">
        <f t="shared" si="9"/>
        <v>0.16818532818532819</v>
      </c>
      <c r="F57" s="28">
        <f t="shared" si="9"/>
        <v>0.15564529698805318</v>
      </c>
    </row>
    <row r="58" spans="1:14" ht="19" x14ac:dyDescent="0.2">
      <c r="A58" s="26" t="s">
        <v>103</v>
      </c>
      <c r="B58" s="28">
        <f>B11/B48</f>
        <v>0.34141397322611766</v>
      </c>
      <c r="C58" s="28">
        <f t="shared" ref="C58:F58" si="10">C11/C48</f>
        <v>0.3331625075357742</v>
      </c>
      <c r="D58" s="28">
        <f t="shared" si="10"/>
        <v>0.36349420643168645</v>
      </c>
      <c r="E58" s="28">
        <f t="shared" si="10"/>
        <v>0.22195570929870365</v>
      </c>
      <c r="F58" s="28">
        <f t="shared" si="10"/>
        <v>0.19286244828714885</v>
      </c>
    </row>
    <row r="59" spans="1:14" ht="19" x14ac:dyDescent="0.2">
      <c r="A59" s="26" t="s">
        <v>104</v>
      </c>
      <c r="B59" s="28">
        <f>B52/B45</f>
        <v>0.98787252070094356</v>
      </c>
      <c r="C59" s="28">
        <f t="shared" ref="C59:F59" si="11">C52/C45</f>
        <v>1.1493166486875226</v>
      </c>
      <c r="D59" s="28">
        <f t="shared" si="11"/>
        <v>1.0566550612508061</v>
      </c>
      <c r="E59" s="28">
        <f t="shared" si="11"/>
        <v>1.2326462187902187</v>
      </c>
      <c r="F59" s="28">
        <f t="shared" si="11"/>
        <v>1.2046381214126798</v>
      </c>
    </row>
    <row r="60" spans="1:14" ht="19" x14ac:dyDescent="0.2">
      <c r="A60" s="26" t="s">
        <v>105</v>
      </c>
      <c r="B60" s="25">
        <f>B29/B31</f>
        <v>57.145797598627787</v>
      </c>
      <c r="C60" s="25">
        <f t="shared" ref="C60:F60" si="12">C29/C31</f>
        <v>60.147163120567377</v>
      </c>
      <c r="D60" s="25">
        <f t="shared" si="12"/>
        <v>81.760752688172033</v>
      </c>
      <c r="E60" s="25">
        <f t="shared" si="12"/>
        <v>66.486238532110079</v>
      </c>
      <c r="F60" s="25">
        <f t="shared" si="12"/>
        <v>30.824742268041234</v>
      </c>
    </row>
    <row r="61" spans="1:14" ht="19" x14ac:dyDescent="0.2">
      <c r="A61" s="26" t="s">
        <v>106</v>
      </c>
      <c r="B61" s="25">
        <f>B5/B34</f>
        <v>31.446666666666665</v>
      </c>
      <c r="C61" s="25">
        <f t="shared" ref="C61:F61" si="13">C5/C34</f>
        <v>28.564285714285713</v>
      </c>
      <c r="D61" s="25">
        <f t="shared" si="13"/>
        <v>26.746153846153845</v>
      </c>
      <c r="E61" s="25">
        <f t="shared" si="13"/>
        <v>25.658333333333335</v>
      </c>
      <c r="F61" s="25">
        <f t="shared" si="13"/>
        <v>27.245454545454546</v>
      </c>
    </row>
    <row r="62" spans="1:14" ht="19" x14ac:dyDescent="0.2">
      <c r="A62" s="26" t="s">
        <v>107</v>
      </c>
      <c r="B62" s="25">
        <f>B4/B26</f>
        <v>39.856521739130436</v>
      </c>
      <c r="C62" s="25">
        <f t="shared" ref="C62:F62" si="14">C4/C26</f>
        <v>36.621739130434783</v>
      </c>
      <c r="D62" s="25">
        <f t="shared" si="14"/>
        <v>32.53478260869565</v>
      </c>
      <c r="E62" s="25">
        <f t="shared" si="14"/>
        <v>26.213043478260868</v>
      </c>
      <c r="F62" s="25">
        <f t="shared" si="14"/>
        <v>24.704347826086956</v>
      </c>
    </row>
    <row r="63" spans="1:14" ht="19" x14ac:dyDescent="0.2">
      <c r="A63" s="26" t="s">
        <v>108</v>
      </c>
      <c r="B63" s="25">
        <f>B5/B28</f>
        <v>-154.65573770491804</v>
      </c>
      <c r="C63" s="25">
        <f t="shared" ref="C63:F63" si="15">C5/C28</f>
        <v>-56.323943661971832</v>
      </c>
      <c r="D63" s="25">
        <f t="shared" si="15"/>
        <v>0.96717663421418631</v>
      </c>
      <c r="E63" s="25">
        <f t="shared" si="15"/>
        <v>1.2395330112721417</v>
      </c>
      <c r="F63" s="25">
        <f t="shared" si="15"/>
        <v>11.729941291585128</v>
      </c>
    </row>
    <row r="64" spans="1:14" ht="19" x14ac:dyDescent="0.2">
      <c r="A64" s="26" t="s">
        <v>109</v>
      </c>
      <c r="B64" s="25">
        <f>B11/B35</f>
        <v>0.52418645558487242</v>
      </c>
      <c r="C64" s="25">
        <f t="shared" ref="C64:F64" si="16">C11/C35</f>
        <v>0.58217950806320251</v>
      </c>
      <c r="D64" s="25">
        <f t="shared" si="16"/>
        <v>0.55046883618312192</v>
      </c>
      <c r="E64" s="25">
        <f t="shared" si="16"/>
        <v>0.44367488286820128</v>
      </c>
      <c r="F64" s="25">
        <f t="shared" si="16"/>
        <v>0.78356628547225748</v>
      </c>
    </row>
    <row r="65" spans="1:6" ht="19" x14ac:dyDescent="0.2">
      <c r="A65" s="26" t="s">
        <v>110</v>
      </c>
      <c r="B65" s="25">
        <f>B11/B44</f>
        <v>0.17215482380127095</v>
      </c>
      <c r="C65" s="25">
        <f t="shared" ref="C65:F65" si="17">C11/C44</f>
        <v>0.21419153781613329</v>
      </c>
      <c r="D65" s="25">
        <f t="shared" si="17"/>
        <v>0.19303675048355901</v>
      </c>
      <c r="E65" s="25">
        <f t="shared" si="17"/>
        <v>0.16818532818532819</v>
      </c>
      <c r="F65" s="25">
        <f t="shared" si="17"/>
        <v>0.15564529698805318</v>
      </c>
    </row>
    <row r="66" spans="1:6" ht="19" x14ac:dyDescent="0.2">
      <c r="A66" s="26" t="s">
        <v>111</v>
      </c>
      <c r="B66" s="25">
        <f>B43/B50</f>
        <v>1.5775798069784708</v>
      </c>
      <c r="C66" s="25">
        <f t="shared" ref="C66:F66" si="18">C43/C50</f>
        <v>1.3698839340256568</v>
      </c>
      <c r="D66" s="25">
        <f t="shared" si="18"/>
        <v>1.3450274557657107</v>
      </c>
      <c r="E66" s="25">
        <f t="shared" si="18"/>
        <v>1.3947912360479537</v>
      </c>
      <c r="F66" s="25">
        <f t="shared" si="18"/>
        <v>1.6596119929453264</v>
      </c>
    </row>
    <row r="67" spans="1:6" ht="19" x14ac:dyDescent="0.2">
      <c r="A67" s="26" t="s">
        <v>112</v>
      </c>
      <c r="B67" s="25">
        <f>(B43-B33)/B50</f>
        <v>0.67161593664934427</v>
      </c>
      <c r="C67" s="25">
        <f t="shared" ref="C67:F67" si="19">(C43-C33)/C50</f>
        <v>0.35186316432498471</v>
      </c>
      <c r="D67" s="25">
        <f t="shared" si="19"/>
        <v>0.20012202562538134</v>
      </c>
      <c r="E67" s="25">
        <f t="shared" si="19"/>
        <v>0.36502687060768912</v>
      </c>
      <c r="F67" s="25">
        <f t="shared" si="19"/>
        <v>0.55026455026455023</v>
      </c>
    </row>
    <row r="68" spans="1:6" ht="19" x14ac:dyDescent="0.2">
      <c r="A68" s="26" t="s">
        <v>113</v>
      </c>
      <c r="B68" s="25">
        <f>B41/B50</f>
        <v>0.23360554318238061</v>
      </c>
      <c r="C68" s="25">
        <f t="shared" ref="C68:F68" si="20">C41/C50</f>
        <v>0.14996945632254124</v>
      </c>
      <c r="D68" s="25">
        <f t="shared" si="20"/>
        <v>4.301403294691885E-2</v>
      </c>
      <c r="E68" s="25">
        <f t="shared" si="20"/>
        <v>0.24266225713104589</v>
      </c>
      <c r="F68" s="25">
        <f t="shared" si="20"/>
        <v>0.3168724279835391</v>
      </c>
    </row>
    <row r="69" spans="1:6" ht="19" x14ac:dyDescent="0.2">
      <c r="A69" s="26" t="s">
        <v>114</v>
      </c>
      <c r="B69" s="25">
        <f>B36/B50</f>
        <v>0.25266023261568921</v>
      </c>
      <c r="C69" s="25">
        <f t="shared" ref="C69:F69" si="21">C36/C50</f>
        <v>0.82529016493585827</v>
      </c>
      <c r="D69" s="25">
        <f t="shared" si="21"/>
        <v>0.24252593044539353</v>
      </c>
      <c r="E69" s="25">
        <f t="shared" si="21"/>
        <v>0.6209177346010748</v>
      </c>
      <c r="F69" s="25">
        <f t="shared" si="21"/>
        <v>0.91651969429747204</v>
      </c>
    </row>
    <row r="70" spans="1:6" ht="19" x14ac:dyDescent="0.2">
      <c r="A70" s="26" t="s">
        <v>115</v>
      </c>
      <c r="B70" s="25">
        <f>B53/B45</f>
        <v>0.22472559214326979</v>
      </c>
      <c r="C70" s="25">
        <f t="shared" ref="C70:F70" si="22">C53/C45</f>
        <v>0.14515162411602542</v>
      </c>
      <c r="D70" s="25">
        <f t="shared" si="22"/>
        <v>0.14584139264990328</v>
      </c>
      <c r="E70" s="25">
        <f t="shared" si="22"/>
        <v>0.14749034749034748</v>
      </c>
      <c r="F70" s="25">
        <f t="shared" si="22"/>
        <v>0.18879353861686018</v>
      </c>
    </row>
    <row r="71" spans="1:6" ht="19" x14ac:dyDescent="0.2">
      <c r="A71" s="26" t="s">
        <v>116</v>
      </c>
      <c r="B71" s="25">
        <f>B47/B45</f>
        <v>4.6379741960331216E-3</v>
      </c>
      <c r="C71" s="25">
        <f t="shared" ref="C71:E71" si="23">C47/C45</f>
        <v>4.281433537096967E-3</v>
      </c>
      <c r="D71" s="25">
        <f t="shared" si="23"/>
        <v>4.0399742101869763E-3</v>
      </c>
      <c r="E71" s="25">
        <f t="shared" si="23"/>
        <v>4.9637065637065641E-3</v>
      </c>
      <c r="F71" s="25">
        <f>F47/F45</f>
        <v>5.7092377587077232E-3</v>
      </c>
    </row>
    <row r="72" spans="1:6" ht="19" x14ac:dyDescent="0.2">
      <c r="A72" s="26" t="s">
        <v>117</v>
      </c>
      <c r="B72" s="25">
        <f>B29/B45</f>
        <v>0.3207779703446948</v>
      </c>
      <c r="C72" s="25">
        <f t="shared" ref="C72:F72" si="24">C29/C45</f>
        <v>0.40660433896679854</v>
      </c>
      <c r="D72" s="25">
        <f t="shared" si="24"/>
        <v>0.3921985815602837</v>
      </c>
      <c r="E72" s="25">
        <f t="shared" si="24"/>
        <v>0.33576833976833975</v>
      </c>
      <c r="F72" s="25">
        <f t="shared" si="24"/>
        <v>0.30186774356385665</v>
      </c>
    </row>
    <row r="73" spans="1:6" ht="19" x14ac:dyDescent="0.2">
      <c r="A73" s="26" t="s">
        <v>118</v>
      </c>
      <c r="B73" s="25">
        <f>B48/B51</f>
        <v>1.0426127812064503</v>
      </c>
      <c r="C73" s="25">
        <f t="shared" ref="C73:F73" si="25">C48/C51</f>
        <v>1.2695263431952664</v>
      </c>
      <c r="D73" s="25">
        <f t="shared" si="25"/>
        <v>1.0103925417075563</v>
      </c>
      <c r="E73" s="25">
        <f t="shared" si="25"/>
        <v>1.5955721192411925</v>
      </c>
      <c r="F73" s="25">
        <f t="shared" si="25"/>
        <v>2.0296929139041708</v>
      </c>
    </row>
    <row r="74" spans="1:6" ht="19" x14ac:dyDescent="0.2">
      <c r="A74" s="26" t="s">
        <v>119</v>
      </c>
      <c r="B74" s="25">
        <f>B4/B45</f>
        <v>0.88263046408626999</v>
      </c>
      <c r="C74" s="25">
        <f t="shared" ref="C74:F74" si="26">C4/C45</f>
        <v>1.0095888769027928</v>
      </c>
      <c r="D74" s="25">
        <f t="shared" si="26"/>
        <v>0.96492585428755639</v>
      </c>
      <c r="E74" s="25">
        <f t="shared" si="26"/>
        <v>0.93111969111969117</v>
      </c>
      <c r="F74" s="25">
        <f t="shared" si="26"/>
        <v>0.95608278647147904</v>
      </c>
    </row>
    <row r="75" spans="1:6" ht="19" x14ac:dyDescent="0.2">
      <c r="A75" s="26" t="s">
        <v>120</v>
      </c>
      <c r="B75" s="25">
        <f>(1.2*B70)
+(1.4*B71)
+(3.3*B72)
+(0.6*B15)
+(1*B74)</f>
        <v>25.186981389824023</v>
      </c>
      <c r="C75" s="25">
        <f t="shared" ref="C75:F75" si="27">(1.2*C70)
+(1.4*C71)
+(3.3*C72)
+(0.6*C15)
+(1*C74)</f>
        <v>42.308789920615162</v>
      </c>
      <c r="D75" s="25">
        <f t="shared" si="27"/>
        <v>52.96349744639091</v>
      </c>
      <c r="E75" s="25">
        <f t="shared" si="27"/>
        <v>16.047092818532818</v>
      </c>
      <c r="F75" s="25">
        <f t="shared" si="27"/>
        <v>16.963092831326293</v>
      </c>
    </row>
    <row r="76" spans="1:6" ht="16" x14ac:dyDescent="0.2">
      <c r="A76" s="6"/>
    </row>
    <row r="77" spans="1:6" ht="16" x14ac:dyDescent="0.2">
      <c r="A77" s="6"/>
    </row>
    <row r="78" spans="1:6" x14ac:dyDescent="0.2">
      <c r="A78" s="11"/>
    </row>
    <row r="84" spans="1:1" ht="16" x14ac:dyDescent="0.2">
      <c r="A84" s="6"/>
    </row>
    <row r="85" spans="1:1" ht="16" x14ac:dyDescent="0.2">
      <c r="A85" s="6"/>
    </row>
    <row r="86" spans="1:1" ht="16" x14ac:dyDescent="0.2">
      <c r="A86" s="6"/>
    </row>
    <row r="87" spans="1:1" ht="16" x14ac:dyDescent="0.2">
      <c r="A87" s="6"/>
    </row>
    <row r="88" spans="1:1" ht="16" x14ac:dyDescent="0.2">
      <c r="A88" s="6"/>
    </row>
    <row r="89" spans="1:1" ht="16" x14ac:dyDescent="0.2">
      <c r="A89" s="6"/>
    </row>
    <row r="90" spans="1:1" ht="16" x14ac:dyDescent="0.2">
      <c r="A90" s="6"/>
    </row>
    <row r="91" spans="1:1" ht="16" x14ac:dyDescent="0.2">
      <c r="A91" s="6"/>
    </row>
  </sheetData>
  <sheetProtection sheet="1" objects="1" scenarios="1"/>
  <sortState xmlns:xlrd2="http://schemas.microsoft.com/office/spreadsheetml/2017/richdata2" ref="L37:N41">
    <sortCondition descending="1" ref="L37:L41"/>
  </sortState>
  <pageMargins left="0.7" right="0.7" top="0.75" bottom="0.75" header="0.3" footer="0.3"/>
  <pageSetup scale="3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A73A-C6F4-40B2-8A68-14B12E864760}">
  <dimension ref="A1:G16"/>
  <sheetViews>
    <sheetView workbookViewId="0">
      <selection activeCell="H29" sqref="H29"/>
    </sheetView>
  </sheetViews>
  <sheetFormatPr baseColWidth="10" defaultColWidth="8.83203125" defaultRowHeight="15" x14ac:dyDescent="0.2"/>
  <cols>
    <col min="1" max="1" width="84.5" bestFit="1" customWidth="1"/>
    <col min="2" max="7" width="7.33203125" bestFit="1" customWidth="1"/>
  </cols>
  <sheetData>
    <row r="1" spans="1:7" x14ac:dyDescent="0.2">
      <c r="A1" s="1" t="s">
        <v>38</v>
      </c>
    </row>
    <row r="2" spans="1:7" x14ac:dyDescent="0.2">
      <c r="A2" t="s">
        <v>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25</v>
      </c>
    </row>
    <row r="3" spans="1:7" x14ac:dyDescent="0.2">
      <c r="A3" t="s">
        <v>5</v>
      </c>
      <c r="B3">
        <v>40379</v>
      </c>
      <c r="C3">
        <v>36145</v>
      </c>
      <c r="D3">
        <v>33934</v>
      </c>
      <c r="E3">
        <v>28108</v>
      </c>
      <c r="F3">
        <v>26985</v>
      </c>
      <c r="G3">
        <v>23312</v>
      </c>
    </row>
    <row r="4" spans="1:7" x14ac:dyDescent="0.2">
      <c r="A4" t="s">
        <v>26</v>
      </c>
      <c r="B4">
        <v>31212</v>
      </c>
      <c r="C4">
        <v>27722</v>
      </c>
      <c r="D4">
        <v>-26451</v>
      </c>
      <c r="E4">
        <v>-22079</v>
      </c>
      <c r="F4">
        <v>-21303</v>
      </c>
      <c r="G4">
        <v>-17848</v>
      </c>
    </row>
    <row r="5" spans="1:7" x14ac:dyDescent="0.2">
      <c r="A5" t="s">
        <v>27</v>
      </c>
      <c r="B5">
        <v>9167</v>
      </c>
      <c r="C5">
        <v>8423</v>
      </c>
      <c r="D5">
        <v>7483</v>
      </c>
      <c r="E5">
        <v>6029</v>
      </c>
      <c r="F5">
        <v>5682</v>
      </c>
      <c r="G5">
        <v>5464</v>
      </c>
    </row>
    <row r="6" spans="1:7" x14ac:dyDescent="0.2">
      <c r="A6" t="s">
        <v>28</v>
      </c>
      <c r="B6">
        <v>-4717</v>
      </c>
      <c r="C6">
        <v>-3999</v>
      </c>
      <c r="D6">
        <v>-3477</v>
      </c>
      <c r="E6">
        <v>-3079</v>
      </c>
      <c r="F6">
        <v>-2997</v>
      </c>
      <c r="G6">
        <v>-2710</v>
      </c>
    </row>
    <row r="7" spans="1:7" x14ac:dyDescent="0.2">
      <c r="A7" t="s">
        <v>6</v>
      </c>
      <c r="B7">
        <v>4450</v>
      </c>
      <c r="C7">
        <v>4423</v>
      </c>
      <c r="D7">
        <v>4006</v>
      </c>
      <c r="E7">
        <v>2950</v>
      </c>
      <c r="F7">
        <v>2685</v>
      </c>
      <c r="G7">
        <v>2754</v>
      </c>
    </row>
    <row r="8" spans="1:7" x14ac:dyDescent="0.2">
      <c r="A8" t="s">
        <v>29</v>
      </c>
      <c r="B8">
        <v>-947</v>
      </c>
      <c r="C8">
        <v>-868</v>
      </c>
      <c r="D8">
        <v>-835</v>
      </c>
      <c r="E8">
        <v>-727</v>
      </c>
      <c r="F8">
        <v>-808</v>
      </c>
      <c r="G8">
        <v>-672</v>
      </c>
    </row>
    <row r="9" spans="1:7" x14ac:dyDescent="0.2">
      <c r="A9" t="s">
        <v>30</v>
      </c>
      <c r="B9">
        <v>3503</v>
      </c>
      <c r="C9">
        <v>3555</v>
      </c>
      <c r="D9">
        <v>3170</v>
      </c>
      <c r="E9">
        <v>2222</v>
      </c>
      <c r="F9">
        <v>1877</v>
      </c>
      <c r="G9">
        <v>2082</v>
      </c>
    </row>
    <row r="10" spans="1:7" x14ac:dyDescent="0.2">
      <c r="A10" t="s">
        <v>31</v>
      </c>
      <c r="B10">
        <v>3527</v>
      </c>
      <c r="C10">
        <v>3499</v>
      </c>
      <c r="D10">
        <v>2990</v>
      </c>
      <c r="E10">
        <v>2109</v>
      </c>
      <c r="F10">
        <v>1740</v>
      </c>
      <c r="G10">
        <v>1931</v>
      </c>
    </row>
    <row r="11" spans="1:7" x14ac:dyDescent="0.2">
      <c r="A11" t="s">
        <v>32</v>
      </c>
      <c r="B11">
        <v>-1739</v>
      </c>
      <c r="C11">
        <v>-1712</v>
      </c>
      <c r="D11">
        <v>-1493</v>
      </c>
      <c r="E11">
        <v>-1020</v>
      </c>
      <c r="F11">
        <v>-816</v>
      </c>
      <c r="G11">
        <v>-930</v>
      </c>
    </row>
    <row r="12" spans="1:7" x14ac:dyDescent="0.2">
      <c r="A12" t="s">
        <v>33</v>
      </c>
      <c r="B12">
        <v>1788</v>
      </c>
      <c r="C12">
        <v>1787</v>
      </c>
      <c r="D12">
        <v>1497</v>
      </c>
      <c r="E12">
        <v>1089</v>
      </c>
      <c r="F12">
        <v>925</v>
      </c>
      <c r="G12">
        <v>1001</v>
      </c>
    </row>
    <row r="13" spans="1:7" x14ac:dyDescent="0.2">
      <c r="A13" t="s">
        <v>34</v>
      </c>
      <c r="B13">
        <v>33.11</v>
      </c>
      <c r="C13">
        <v>33.1</v>
      </c>
      <c r="D13">
        <v>27.72</v>
      </c>
      <c r="E13">
        <v>20.16</v>
      </c>
      <c r="F13">
        <v>17.12</v>
      </c>
      <c r="G13">
        <v>18.54</v>
      </c>
    </row>
    <row r="14" spans="1:7" x14ac:dyDescent="0.2">
      <c r="A14" t="s">
        <v>35</v>
      </c>
      <c r="B14">
        <v>540</v>
      </c>
      <c r="C14">
        <v>540</v>
      </c>
      <c r="D14">
        <v>540</v>
      </c>
      <c r="E14">
        <v>180</v>
      </c>
      <c r="F14">
        <v>180</v>
      </c>
      <c r="G14">
        <v>60</v>
      </c>
    </row>
    <row r="15" spans="1:7" x14ac:dyDescent="0.2">
      <c r="A15" t="s">
        <v>36</v>
      </c>
      <c r="B15">
        <v>1669</v>
      </c>
      <c r="C15">
        <v>1526</v>
      </c>
      <c r="D15">
        <v>1643</v>
      </c>
      <c r="E15">
        <v>1445</v>
      </c>
      <c r="F15">
        <v>1426</v>
      </c>
      <c r="G15">
        <v>1453</v>
      </c>
    </row>
    <row r="16" spans="1:7" x14ac:dyDescent="0.2">
      <c r="A16" t="s">
        <v>37</v>
      </c>
      <c r="B16">
        <v>32802</v>
      </c>
      <c r="C16">
        <v>29530</v>
      </c>
      <c r="D16">
        <v>29078</v>
      </c>
      <c r="E16">
        <v>24250</v>
      </c>
      <c r="F16">
        <v>22630</v>
      </c>
      <c r="G16">
        <v>19133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D00A-E6D2-4C07-941E-596256BE4060}">
  <dimension ref="A1:K35"/>
  <sheetViews>
    <sheetView workbookViewId="0">
      <selection activeCell="H29" sqref="H29"/>
    </sheetView>
  </sheetViews>
  <sheetFormatPr baseColWidth="10" defaultColWidth="8.83203125" defaultRowHeight="15" x14ac:dyDescent="0.2"/>
  <cols>
    <col min="1" max="1" width="34.83203125" bestFit="1" customWidth="1"/>
    <col min="2" max="3" width="11.1640625" bestFit="1" customWidth="1"/>
    <col min="4" max="4" width="17.83203125" customWidth="1"/>
    <col min="5" max="6" width="11.1640625" bestFit="1" customWidth="1"/>
    <col min="7" max="7" width="10.1640625" bestFit="1" customWidth="1"/>
  </cols>
  <sheetData>
    <row r="1" spans="1:7" x14ac:dyDescent="0.2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25</v>
      </c>
    </row>
    <row r="2" spans="1:7" x14ac:dyDescent="0.2">
      <c r="A2" t="s">
        <v>50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51</v>
      </c>
    </row>
    <row r="3" spans="1:7" x14ac:dyDescent="0.2">
      <c r="A3" t="s">
        <v>52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53</v>
      </c>
    </row>
    <row r="4" spans="1:7" x14ac:dyDescent="0.2">
      <c r="A4" t="s">
        <v>54</v>
      </c>
      <c r="B4" t="s">
        <v>12</v>
      </c>
      <c r="C4" t="s">
        <v>55</v>
      </c>
      <c r="D4" t="s">
        <v>56</v>
      </c>
      <c r="E4" t="s">
        <v>55</v>
      </c>
      <c r="F4" t="s">
        <v>57</v>
      </c>
      <c r="G4" t="s">
        <v>58</v>
      </c>
    </row>
    <row r="5" spans="1:7" x14ac:dyDescent="0.2">
      <c r="A5" t="s">
        <v>59</v>
      </c>
      <c r="B5" t="s">
        <v>23</v>
      </c>
      <c r="C5" t="s">
        <v>23</v>
      </c>
      <c r="D5" t="s">
        <v>23</v>
      </c>
      <c r="E5" t="s">
        <v>60</v>
      </c>
      <c r="F5" t="s">
        <v>23</v>
      </c>
      <c r="G5" t="s">
        <v>60</v>
      </c>
    </row>
    <row r="6" spans="1:7" x14ac:dyDescent="0.2">
      <c r="A6" t="s">
        <v>61</v>
      </c>
      <c r="B6" t="s">
        <v>62</v>
      </c>
      <c r="C6" t="s">
        <v>62</v>
      </c>
      <c r="D6" t="s">
        <v>62</v>
      </c>
      <c r="E6" t="s">
        <v>63</v>
      </c>
      <c r="F6" t="s">
        <v>63</v>
      </c>
      <c r="G6" t="s">
        <v>64</v>
      </c>
    </row>
    <row r="7" spans="1:7" x14ac:dyDescent="0.2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</row>
    <row r="8" spans="1:7" x14ac:dyDescent="0.2">
      <c r="A8" t="s">
        <v>72</v>
      </c>
      <c r="B8" t="s">
        <v>21</v>
      </c>
      <c r="C8" t="s">
        <v>22</v>
      </c>
      <c r="D8" t="s">
        <v>73</v>
      </c>
      <c r="E8" t="s">
        <v>74</v>
      </c>
      <c r="F8" t="s">
        <v>75</v>
      </c>
      <c r="G8" t="s">
        <v>76</v>
      </c>
    </row>
    <row r="9" spans="1:7" x14ac:dyDescent="0.2">
      <c r="A9" t="s">
        <v>77</v>
      </c>
      <c r="B9" t="s">
        <v>78</v>
      </c>
      <c r="C9" t="s">
        <v>19</v>
      </c>
      <c r="D9" t="s">
        <v>19</v>
      </c>
      <c r="E9" t="s">
        <v>20</v>
      </c>
      <c r="F9" t="s">
        <v>19</v>
      </c>
      <c r="G9" t="s">
        <v>79</v>
      </c>
    </row>
    <row r="28" spans="5:11" x14ac:dyDescent="0.2">
      <c r="E28" s="2"/>
      <c r="F28" s="2"/>
      <c r="G28" s="2"/>
      <c r="H28" s="2"/>
      <c r="I28" s="2"/>
      <c r="J28" s="2"/>
      <c r="K28" s="2"/>
    </row>
    <row r="29" spans="5:11" x14ac:dyDescent="0.2">
      <c r="E29" s="2"/>
      <c r="F29" s="2"/>
      <c r="G29" s="2"/>
      <c r="H29" s="2"/>
      <c r="I29" s="2"/>
      <c r="J29" s="2"/>
    </row>
    <row r="30" spans="5:11" x14ac:dyDescent="0.2">
      <c r="E30" s="2"/>
      <c r="F30" s="2"/>
      <c r="G30" s="2"/>
      <c r="H30" s="2"/>
      <c r="I30" s="2"/>
      <c r="J30" s="2"/>
    </row>
    <row r="31" spans="5:11" x14ac:dyDescent="0.2">
      <c r="E31" s="2"/>
      <c r="F31" s="2"/>
      <c r="G31" s="2"/>
      <c r="H31" s="2"/>
      <c r="I31" s="2"/>
      <c r="J31" s="2"/>
    </row>
    <row r="32" spans="5:11" x14ac:dyDescent="0.2">
      <c r="E32" s="2"/>
      <c r="F32" s="2"/>
      <c r="G32" s="2"/>
      <c r="H32" s="2"/>
      <c r="I32" s="2"/>
      <c r="J32" s="2"/>
    </row>
    <row r="33" spans="5:10" x14ac:dyDescent="0.2">
      <c r="E33" s="2"/>
      <c r="F33" s="2"/>
      <c r="G33" s="2"/>
      <c r="H33" s="2"/>
      <c r="I33" s="2"/>
      <c r="J33" s="2"/>
    </row>
    <row r="34" spans="5:10" x14ac:dyDescent="0.2">
      <c r="E34" s="2"/>
      <c r="F34" s="2"/>
      <c r="G34" s="2"/>
      <c r="H34" s="2"/>
      <c r="I34" s="2"/>
      <c r="J34" s="2"/>
    </row>
    <row r="35" spans="5:10" x14ac:dyDescent="0.2">
      <c r="E35" s="2"/>
      <c r="F35" s="2"/>
      <c r="G35" s="2"/>
      <c r="H35" s="2"/>
      <c r="I35" s="2"/>
      <c r="J35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0A21-AD34-48A3-A240-487C1F2ECF81}">
  <dimension ref="A1:G10"/>
  <sheetViews>
    <sheetView workbookViewId="0">
      <selection activeCell="H29" sqref="H29"/>
    </sheetView>
  </sheetViews>
  <sheetFormatPr baseColWidth="10" defaultColWidth="8.83203125" defaultRowHeight="15" x14ac:dyDescent="0.2"/>
  <cols>
    <col min="1" max="1" width="39.1640625" bestFit="1" customWidth="1"/>
    <col min="2" max="7" width="7.33203125" bestFit="1" customWidth="1"/>
  </cols>
  <sheetData>
    <row r="1" spans="1:7" x14ac:dyDescent="0.2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25</v>
      </c>
    </row>
    <row r="2" spans="1:7" x14ac:dyDescent="0.2">
      <c r="A2" t="s">
        <v>40</v>
      </c>
      <c r="B2">
        <v>2513</v>
      </c>
      <c r="C2">
        <v>4076</v>
      </c>
      <c r="D2">
        <v>2009</v>
      </c>
      <c r="E2">
        <v>2276</v>
      </c>
      <c r="F2">
        <v>2482</v>
      </c>
      <c r="G2">
        <v>1789</v>
      </c>
    </row>
    <row r="3" spans="1:7" x14ac:dyDescent="0.2">
      <c r="A3" t="s">
        <v>41</v>
      </c>
      <c r="B3">
        <v>-1489</v>
      </c>
      <c r="C3">
        <v>-1352</v>
      </c>
      <c r="D3">
        <v>-1200</v>
      </c>
      <c r="E3">
        <v>-784</v>
      </c>
      <c r="F3">
        <v>-892</v>
      </c>
      <c r="G3">
        <v>-843</v>
      </c>
    </row>
    <row r="4" spans="1:7" x14ac:dyDescent="0.2">
      <c r="A4" t="s">
        <v>42</v>
      </c>
      <c r="B4">
        <v>-4</v>
      </c>
      <c r="C4">
        <v>-21</v>
      </c>
      <c r="D4">
        <v>-14</v>
      </c>
      <c r="E4">
        <v>10</v>
      </c>
      <c r="F4">
        <v>-31</v>
      </c>
      <c r="G4">
        <v>-45</v>
      </c>
    </row>
    <row r="5" spans="1:7" x14ac:dyDescent="0.2">
      <c r="A5" t="s">
        <v>43</v>
      </c>
      <c r="B5">
        <v>1021</v>
      </c>
      <c r="C5">
        <v>2702</v>
      </c>
      <c r="D5">
        <v>795</v>
      </c>
      <c r="E5">
        <v>1502</v>
      </c>
      <c r="F5">
        <v>1559</v>
      </c>
      <c r="G5">
        <v>901</v>
      </c>
    </row>
    <row r="6" spans="1:7" x14ac:dyDescent="0.2">
      <c r="A6" t="s">
        <v>44</v>
      </c>
      <c r="B6">
        <v>-610</v>
      </c>
      <c r="C6">
        <v>-606</v>
      </c>
      <c r="D6">
        <v>-530</v>
      </c>
      <c r="E6">
        <v>-139</v>
      </c>
      <c r="F6">
        <v>-319</v>
      </c>
      <c r="G6">
        <v>-688</v>
      </c>
    </row>
    <row r="7" spans="1:7" x14ac:dyDescent="0.2">
      <c r="A7" t="s">
        <v>45</v>
      </c>
      <c r="B7">
        <v>34</v>
      </c>
      <c r="C7">
        <v>-1765</v>
      </c>
      <c r="D7">
        <v>-713</v>
      </c>
      <c r="E7">
        <v>-1314</v>
      </c>
      <c r="F7">
        <v>-786</v>
      </c>
      <c r="G7">
        <v>78</v>
      </c>
    </row>
    <row r="8" spans="1:7" x14ac:dyDescent="0.2">
      <c r="A8" t="s">
        <v>46</v>
      </c>
      <c r="B8">
        <v>444</v>
      </c>
      <c r="C8">
        <v>331</v>
      </c>
      <c r="D8">
        <v>-448</v>
      </c>
      <c r="E8">
        <v>48</v>
      </c>
      <c r="F8">
        <v>455</v>
      </c>
      <c r="G8">
        <v>291</v>
      </c>
    </row>
    <row r="9" spans="1:7" x14ac:dyDescent="0.2">
      <c r="A9" t="s">
        <v>47</v>
      </c>
      <c r="B9">
        <v>491</v>
      </c>
      <c r="C9">
        <v>141</v>
      </c>
      <c r="D9">
        <v>587</v>
      </c>
      <c r="E9">
        <v>539</v>
      </c>
      <c r="F9">
        <v>83</v>
      </c>
      <c r="G9">
        <v>-208</v>
      </c>
    </row>
    <row r="10" spans="1:7" x14ac:dyDescent="0.2">
      <c r="A10" t="s">
        <v>48</v>
      </c>
      <c r="B10">
        <v>944</v>
      </c>
      <c r="C10">
        <v>491</v>
      </c>
      <c r="D10">
        <v>141</v>
      </c>
      <c r="E10">
        <v>587</v>
      </c>
      <c r="F10">
        <v>539</v>
      </c>
      <c r="G10">
        <v>83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6185-A48B-49EE-BD4E-081D5233ABFD}">
  <dimension ref="A1:F18"/>
  <sheetViews>
    <sheetView topLeftCell="A4" workbookViewId="0">
      <selection activeCell="H29" sqref="H29"/>
    </sheetView>
  </sheetViews>
  <sheetFormatPr baseColWidth="10" defaultColWidth="8.83203125" defaultRowHeight="15" x14ac:dyDescent="0.2"/>
  <cols>
    <col min="1" max="1" width="47.5" bestFit="1" customWidth="1"/>
    <col min="2" max="6" width="11.1640625" bestFit="1" customWidth="1"/>
    <col min="10" max="11" width="9.1640625" customWidth="1"/>
    <col min="12" max="12" width="8.5" customWidth="1"/>
    <col min="13" max="13" width="36.6640625" customWidth="1"/>
  </cols>
  <sheetData>
    <row r="1" spans="1:6" x14ac:dyDescent="0.2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80</v>
      </c>
      <c r="B2" s="3">
        <v>1</v>
      </c>
      <c r="C2" s="3">
        <v>1</v>
      </c>
      <c r="D2" s="3">
        <v>1</v>
      </c>
      <c r="E2" s="3">
        <v>1</v>
      </c>
      <c r="F2" s="3">
        <v>1</v>
      </c>
    </row>
    <row r="3" spans="1:6" x14ac:dyDescent="0.2">
      <c r="A3" t="s">
        <v>81</v>
      </c>
      <c r="B3" s="3">
        <v>0.48549999999999999</v>
      </c>
      <c r="C3" s="3">
        <v>0.5252</v>
      </c>
      <c r="D3" s="3">
        <v>0.54</v>
      </c>
      <c r="E3" s="3">
        <v>0.49</v>
      </c>
      <c r="F3" s="3">
        <v>0.47</v>
      </c>
    </row>
    <row r="4" spans="1:6" x14ac:dyDescent="0.2">
      <c r="A4" t="s">
        <v>82</v>
      </c>
      <c r="B4" s="3">
        <v>0.38</v>
      </c>
      <c r="C4" s="3">
        <v>0.42</v>
      </c>
      <c r="D4" s="3">
        <v>0.42</v>
      </c>
      <c r="E4" s="3">
        <v>0.37</v>
      </c>
      <c r="F4" s="3">
        <v>0.33</v>
      </c>
    </row>
    <row r="5" spans="1:6" x14ac:dyDescent="0.2">
      <c r="A5" t="s">
        <v>83</v>
      </c>
      <c r="B5" s="3">
        <v>0.38</v>
      </c>
      <c r="C5" s="3">
        <v>0.42</v>
      </c>
      <c r="D5" s="3">
        <v>0.4</v>
      </c>
      <c r="E5" s="3">
        <v>0.35</v>
      </c>
      <c r="F5" s="3">
        <v>0.31</v>
      </c>
    </row>
    <row r="6" spans="1:6" x14ac:dyDescent="0.2">
      <c r="A6" t="s">
        <v>84</v>
      </c>
      <c r="B6" s="3">
        <v>0.2</v>
      </c>
      <c r="C6" s="3">
        <v>0.21</v>
      </c>
      <c r="D6" s="3">
        <v>0.2</v>
      </c>
      <c r="E6" s="3">
        <v>0.18</v>
      </c>
      <c r="F6" s="3">
        <v>0.16</v>
      </c>
    </row>
    <row r="7" spans="1:6" x14ac:dyDescent="0.2">
      <c r="A7" t="s">
        <v>85</v>
      </c>
      <c r="B7" s="3"/>
      <c r="C7" s="3"/>
      <c r="D7" s="3"/>
      <c r="E7" s="3"/>
      <c r="F7" s="3"/>
    </row>
    <row r="8" spans="1:6" x14ac:dyDescent="0.2">
      <c r="A8" t="s">
        <v>86</v>
      </c>
      <c r="B8" s="3">
        <v>0.39</v>
      </c>
      <c r="C8" s="3">
        <v>0.46</v>
      </c>
      <c r="D8" s="3">
        <v>0.43</v>
      </c>
      <c r="E8" s="3">
        <v>0.48</v>
      </c>
      <c r="F8" s="3">
        <v>0.53</v>
      </c>
    </row>
    <row r="9" spans="1:6" x14ac:dyDescent="0.2">
      <c r="A9" t="s">
        <v>87</v>
      </c>
      <c r="B9" s="3">
        <v>0.61</v>
      </c>
      <c r="C9" s="3">
        <v>0.54</v>
      </c>
      <c r="D9" s="3">
        <v>0.56999999999999995</v>
      </c>
      <c r="E9" s="3">
        <v>0.52</v>
      </c>
      <c r="F9" s="3">
        <v>0.47</v>
      </c>
    </row>
    <row r="10" spans="1:6" x14ac:dyDescent="0.2">
      <c r="A10" t="s">
        <v>88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</row>
    <row r="11" spans="1:6" x14ac:dyDescent="0.2">
      <c r="A11" t="s">
        <v>89</v>
      </c>
      <c r="B11" s="3">
        <v>0.05</v>
      </c>
      <c r="C11" s="3">
        <v>0.06</v>
      </c>
      <c r="D11" s="3">
        <v>7.0000000000000007E-2</v>
      </c>
      <c r="E11" s="3">
        <v>0.03</v>
      </c>
      <c r="F11" s="3">
        <v>0.03</v>
      </c>
    </row>
    <row r="12" spans="1:6" x14ac:dyDescent="0.2">
      <c r="A12" t="s">
        <v>90</v>
      </c>
      <c r="B12" s="3">
        <v>0.46</v>
      </c>
      <c r="C12" s="3">
        <v>0.43</v>
      </c>
      <c r="D12" s="3">
        <v>0.4</v>
      </c>
      <c r="E12" s="3">
        <v>0.5</v>
      </c>
      <c r="F12" s="3">
        <v>0.56999999999999995</v>
      </c>
    </row>
    <row r="13" spans="1:6" x14ac:dyDescent="0.2">
      <c r="A13" t="s">
        <v>13</v>
      </c>
      <c r="B13" s="3">
        <v>0.52</v>
      </c>
      <c r="C13" s="3">
        <v>0.49</v>
      </c>
      <c r="D13" s="3">
        <v>0.47</v>
      </c>
      <c r="E13" s="3">
        <v>0.53</v>
      </c>
      <c r="F13" s="3">
        <v>0.6</v>
      </c>
    </row>
    <row r="14" spans="1:6" x14ac:dyDescent="0.2">
      <c r="A14" t="s">
        <v>91</v>
      </c>
      <c r="B14" s="3">
        <v>0.09</v>
      </c>
      <c r="C14" s="3">
        <v>0.11</v>
      </c>
      <c r="D14" s="3">
        <v>0.1</v>
      </c>
      <c r="E14" s="3">
        <v>0.1</v>
      </c>
      <c r="F14" s="3">
        <v>0.11</v>
      </c>
    </row>
    <row r="15" spans="1:6" x14ac:dyDescent="0.2">
      <c r="A15" t="s">
        <v>92</v>
      </c>
      <c r="B15" s="3">
        <v>0.39</v>
      </c>
      <c r="C15" s="3">
        <v>0.39</v>
      </c>
      <c r="D15" s="3">
        <v>0.42</v>
      </c>
      <c r="E15" s="3">
        <v>0.37</v>
      </c>
      <c r="F15" s="3">
        <v>0.28999999999999998</v>
      </c>
    </row>
    <row r="16" spans="1:6" x14ac:dyDescent="0.2">
      <c r="A16" t="s">
        <v>93</v>
      </c>
      <c r="B16" s="3">
        <v>0.48</v>
      </c>
      <c r="C16" s="3">
        <v>0.51</v>
      </c>
      <c r="D16" s="3">
        <v>0.53</v>
      </c>
      <c r="E16" s="3">
        <v>0.47</v>
      </c>
      <c r="F16" s="3">
        <v>0.4</v>
      </c>
    </row>
    <row r="17" spans="1:6" x14ac:dyDescent="0.2">
      <c r="A17" t="s">
        <v>94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</row>
    <row r="18" spans="1:6" x14ac:dyDescent="0.2">
      <c r="B18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490F-CA6F-4882-ADC6-5DB3FEF70AEB}">
  <dimension ref="A1:F18"/>
  <sheetViews>
    <sheetView workbookViewId="0">
      <selection activeCell="H29" sqref="H29"/>
    </sheetView>
  </sheetViews>
  <sheetFormatPr baseColWidth="10" defaultColWidth="8.83203125" defaultRowHeight="15" x14ac:dyDescent="0.2"/>
  <cols>
    <col min="1" max="1" width="47.5" bestFit="1" customWidth="1"/>
    <col min="2" max="6" width="11.1640625" bestFit="1" customWidth="1"/>
  </cols>
  <sheetData>
    <row r="1" spans="1:6" x14ac:dyDescent="0.2">
      <c r="A1" t="s">
        <v>97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80</v>
      </c>
      <c r="B2" s="5">
        <v>0.09</v>
      </c>
      <c r="C2" s="5">
        <v>0.13</v>
      </c>
      <c r="D2" s="5">
        <v>0.24</v>
      </c>
      <c r="E2" s="5">
        <v>0.06</v>
      </c>
      <c r="F2" s="5">
        <v>0.04</v>
      </c>
    </row>
    <row r="3" spans="1:6" x14ac:dyDescent="0.2">
      <c r="A3" t="s">
        <v>81</v>
      </c>
      <c r="B3" s="5">
        <v>0.01</v>
      </c>
      <c r="C3" s="5">
        <v>0.1</v>
      </c>
      <c r="D3" s="5">
        <v>0.36</v>
      </c>
      <c r="E3" s="5">
        <v>0.1</v>
      </c>
      <c r="F3" s="5">
        <v>-0.03</v>
      </c>
    </row>
    <row r="4" spans="1:6" x14ac:dyDescent="0.2">
      <c r="A4" t="s">
        <v>82</v>
      </c>
      <c r="B4" s="5">
        <v>-0.01</v>
      </c>
      <c r="C4" s="5">
        <v>0.12</v>
      </c>
      <c r="D4" s="5">
        <v>0.43</v>
      </c>
      <c r="E4" s="5">
        <v>0.18</v>
      </c>
      <c r="F4" s="5">
        <v>-0.1</v>
      </c>
    </row>
    <row r="5" spans="1:6" x14ac:dyDescent="0.2">
      <c r="A5" t="s">
        <v>83</v>
      </c>
      <c r="B5" s="5">
        <v>0.01</v>
      </c>
      <c r="C5" s="5">
        <v>0.17</v>
      </c>
      <c r="D5" s="5">
        <v>0.42</v>
      </c>
      <c r="E5" s="5">
        <v>0.21</v>
      </c>
      <c r="F5" s="5">
        <v>-0.1</v>
      </c>
    </row>
    <row r="6" spans="1:6" x14ac:dyDescent="0.2">
      <c r="A6" t="s">
        <v>84</v>
      </c>
      <c r="B6" s="5">
        <v>0</v>
      </c>
      <c r="C6" s="5">
        <v>0.19</v>
      </c>
      <c r="D6" s="5">
        <v>0.38</v>
      </c>
      <c r="E6" s="5">
        <v>0.18</v>
      </c>
      <c r="F6" s="5">
        <v>-0.08</v>
      </c>
    </row>
    <row r="7" spans="1:6" x14ac:dyDescent="0.2">
      <c r="A7" t="s">
        <v>98</v>
      </c>
      <c r="B7" s="5">
        <v>0</v>
      </c>
      <c r="C7" s="5">
        <v>0.19</v>
      </c>
      <c r="D7" s="5">
        <v>0.37</v>
      </c>
      <c r="E7" s="5">
        <v>0.18</v>
      </c>
      <c r="F7" s="5">
        <v>-0.08</v>
      </c>
    </row>
    <row r="8" spans="1:6" x14ac:dyDescent="0.2">
      <c r="A8" t="s">
        <v>85</v>
      </c>
      <c r="B8" s="5"/>
      <c r="C8" s="5"/>
      <c r="D8" s="5"/>
      <c r="E8" s="5"/>
      <c r="F8" s="5"/>
    </row>
    <row r="9" spans="1:6" x14ac:dyDescent="0.2">
      <c r="A9" t="s">
        <v>86</v>
      </c>
      <c r="B9" s="5">
        <v>0.04</v>
      </c>
      <c r="C9" s="5">
        <v>0.15</v>
      </c>
      <c r="D9" s="5">
        <v>0.08</v>
      </c>
      <c r="E9" s="5">
        <v>-0.01</v>
      </c>
      <c r="F9" s="5">
        <v>0.18</v>
      </c>
    </row>
    <row r="10" spans="1:6" x14ac:dyDescent="0.2">
      <c r="A10" t="s">
        <v>87</v>
      </c>
      <c r="B10" s="5">
        <v>0.42</v>
      </c>
      <c r="C10" s="5">
        <v>0.02</v>
      </c>
      <c r="D10" s="5">
        <v>0.31</v>
      </c>
      <c r="E10" s="5">
        <v>0.2</v>
      </c>
      <c r="F10" s="5">
        <v>-0.06</v>
      </c>
    </row>
    <row r="11" spans="1:6" x14ac:dyDescent="0.2">
      <c r="A11" t="s">
        <v>88</v>
      </c>
      <c r="B11" s="5">
        <v>0.24</v>
      </c>
      <c r="C11" s="5">
        <v>0.08</v>
      </c>
      <c r="D11" s="5">
        <v>0.2</v>
      </c>
      <c r="E11" s="5">
        <v>0.09</v>
      </c>
      <c r="F11" s="5">
        <v>0.05</v>
      </c>
    </row>
    <row r="12" spans="1:6" x14ac:dyDescent="0.2">
      <c r="A12" t="s">
        <v>89</v>
      </c>
      <c r="B12" s="5">
        <v>0</v>
      </c>
      <c r="C12" s="5">
        <v>0</v>
      </c>
      <c r="D12" s="5">
        <v>2</v>
      </c>
      <c r="E12" s="5">
        <v>0</v>
      </c>
      <c r="F12" s="5">
        <v>2</v>
      </c>
    </row>
    <row r="13" spans="1:6" x14ac:dyDescent="0.2">
      <c r="A13" t="s">
        <v>90</v>
      </c>
      <c r="B13" s="5">
        <v>0.35</v>
      </c>
      <c r="C13" s="5">
        <v>0.14000000000000001</v>
      </c>
      <c r="D13" s="5">
        <v>-0.03</v>
      </c>
      <c r="E13" s="5">
        <v>-0.05</v>
      </c>
      <c r="F13" s="5">
        <v>0.18</v>
      </c>
    </row>
    <row r="14" spans="1:6" x14ac:dyDescent="0.2">
      <c r="A14" t="s">
        <v>13</v>
      </c>
      <c r="B14" s="5">
        <v>0.3</v>
      </c>
      <c r="C14" s="5">
        <v>0.12</v>
      </c>
      <c r="D14" s="5">
        <v>0.08</v>
      </c>
      <c r="E14" s="5">
        <v>-0.05</v>
      </c>
      <c r="F14" s="5">
        <v>0.21</v>
      </c>
    </row>
    <row r="15" spans="1:6" x14ac:dyDescent="0.2">
      <c r="A15" t="s">
        <v>91</v>
      </c>
      <c r="B15" s="5">
        <v>0.03</v>
      </c>
      <c r="C15" s="5">
        <v>0.19</v>
      </c>
      <c r="D15" s="5">
        <v>0.22</v>
      </c>
      <c r="E15" s="5">
        <v>-0.01</v>
      </c>
      <c r="F15" s="5">
        <v>0.62</v>
      </c>
    </row>
    <row r="16" spans="1:6" x14ac:dyDescent="0.2">
      <c r="A16" t="s">
        <v>92</v>
      </c>
      <c r="B16" s="5">
        <v>0.23</v>
      </c>
      <c r="C16" s="5">
        <v>0</v>
      </c>
      <c r="D16" s="5">
        <v>0.35</v>
      </c>
      <c r="E16" s="5">
        <v>0.42</v>
      </c>
      <c r="F16" s="5">
        <v>-0.26</v>
      </c>
    </row>
    <row r="17" spans="1:6" x14ac:dyDescent="0.2">
      <c r="A17" t="s">
        <v>93</v>
      </c>
      <c r="B17" s="5">
        <v>0.19</v>
      </c>
      <c r="C17" s="5">
        <v>0.04</v>
      </c>
      <c r="D17" s="5">
        <v>0.33</v>
      </c>
      <c r="E17" s="5">
        <v>0.3</v>
      </c>
      <c r="F17" s="5">
        <v>-0.13</v>
      </c>
    </row>
    <row r="18" spans="1:6" x14ac:dyDescent="0.2">
      <c r="A18" t="s">
        <v>94</v>
      </c>
      <c r="B18" s="5">
        <v>0.24</v>
      </c>
      <c r="C18" s="5">
        <v>0.08</v>
      </c>
      <c r="D18" s="5">
        <v>0.2</v>
      </c>
      <c r="E18" s="5">
        <v>0.09</v>
      </c>
      <c r="F18" s="5">
        <v>0.05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6BF8-C136-1247-94B2-68268EAF386F}">
  <dimension ref="A12:E150"/>
  <sheetViews>
    <sheetView showGridLines="0" topLeftCell="A29" zoomScale="75" workbookViewId="0">
      <selection activeCell="G18" sqref="G18"/>
    </sheetView>
  </sheetViews>
  <sheetFormatPr baseColWidth="10" defaultRowHeight="15" x14ac:dyDescent="0.2"/>
  <cols>
    <col min="1" max="1" width="78.33203125" bestFit="1" customWidth="1"/>
    <col min="2" max="2" width="17.6640625" bestFit="1" customWidth="1"/>
    <col min="3" max="3" width="10.83203125" customWidth="1"/>
    <col min="5" max="5" width="50.5" bestFit="1" customWidth="1"/>
    <col min="6" max="10" width="8.33203125" bestFit="1" customWidth="1"/>
  </cols>
  <sheetData>
    <row r="12" spans="5:5" ht="62" x14ac:dyDescent="0.7">
      <c r="E12" s="29" t="s">
        <v>134</v>
      </c>
    </row>
    <row r="19" spans="1:2" ht="19" x14ac:dyDescent="0.25">
      <c r="A19" s="15" t="s">
        <v>99</v>
      </c>
    </row>
    <row r="20" spans="1:2" ht="19" x14ac:dyDescent="0.2">
      <c r="A20" s="20">
        <v>2023</v>
      </c>
      <c r="B20" s="33">
        <v>0.4854368932038835</v>
      </c>
    </row>
    <row r="21" spans="1:2" ht="19" x14ac:dyDescent="0.2">
      <c r="A21" s="20">
        <v>2022</v>
      </c>
      <c r="B21" s="33">
        <v>0.52510981835450554</v>
      </c>
    </row>
    <row r="22" spans="1:2" ht="19" x14ac:dyDescent="0.2">
      <c r="A22" s="20">
        <v>2021</v>
      </c>
      <c r="B22" s="33">
        <v>0.53534678604837627</v>
      </c>
    </row>
    <row r="23" spans="1:2" ht="19" x14ac:dyDescent="0.2">
      <c r="A23" s="20">
        <v>2020</v>
      </c>
      <c r="B23" s="33">
        <v>0.48930170840935477</v>
      </c>
    </row>
    <row r="24" spans="1:2" ht="19" x14ac:dyDescent="0.2">
      <c r="A24" s="20">
        <v>2019</v>
      </c>
      <c r="B24" s="33">
        <v>0.47254487856388594</v>
      </c>
    </row>
    <row r="25" spans="1:2" ht="19" x14ac:dyDescent="0.25">
      <c r="A25" s="30" t="s">
        <v>100</v>
      </c>
      <c r="B25" s="34"/>
    </row>
    <row r="26" spans="1:2" ht="19" x14ac:dyDescent="0.2">
      <c r="A26" s="20">
        <v>2023</v>
      </c>
      <c r="B26" s="33">
        <v>0.38213155885240535</v>
      </c>
    </row>
    <row r="27" spans="1:2" ht="19" x14ac:dyDescent="0.2">
      <c r="A27" s="20">
        <v>2022</v>
      </c>
      <c r="B27" s="33">
        <v>0.42205864893743322</v>
      </c>
    </row>
    <row r="28" spans="1:2" ht="19" x14ac:dyDescent="0.2">
      <c r="A28" s="20">
        <v>2021</v>
      </c>
      <c r="B28" s="33">
        <v>0.42362688761192036</v>
      </c>
    </row>
    <row r="29" spans="1:2" ht="19" x14ac:dyDescent="0.2">
      <c r="A29" s="20">
        <v>2020</v>
      </c>
      <c r="B29" s="33">
        <v>0.36855199867308014</v>
      </c>
    </row>
    <row r="30" spans="1:2" ht="19" x14ac:dyDescent="0.2">
      <c r="A30" s="20">
        <v>2019</v>
      </c>
      <c r="B30" s="33">
        <v>0.33034142907426961</v>
      </c>
    </row>
    <row r="31" spans="1:2" ht="19" x14ac:dyDescent="0.25">
      <c r="A31" s="30" t="s">
        <v>101</v>
      </c>
      <c r="B31" s="34"/>
    </row>
    <row r="32" spans="1:2" ht="19" x14ac:dyDescent="0.2">
      <c r="A32" s="20">
        <v>2023</v>
      </c>
      <c r="B32" s="33">
        <v>0.19504745281989747</v>
      </c>
    </row>
    <row r="33" spans="1:2" ht="19" x14ac:dyDescent="0.2">
      <c r="A33" s="20">
        <v>2022</v>
      </c>
      <c r="B33" s="33">
        <v>0.21215718865012465</v>
      </c>
    </row>
    <row r="34" spans="1:2" ht="19" x14ac:dyDescent="0.2">
      <c r="A34" s="20">
        <v>2021</v>
      </c>
      <c r="B34" s="33">
        <v>0.20005345449685955</v>
      </c>
    </row>
    <row r="35" spans="1:2" ht="19" x14ac:dyDescent="0.2">
      <c r="A35" s="20">
        <v>2020</v>
      </c>
      <c r="B35" s="33">
        <v>0.18062696964670757</v>
      </c>
    </row>
    <row r="36" spans="1:2" ht="19" x14ac:dyDescent="0.2">
      <c r="A36" s="20">
        <v>2019</v>
      </c>
      <c r="B36" s="33">
        <v>0.16279479056670187</v>
      </c>
    </row>
    <row r="37" spans="1:2" ht="19" x14ac:dyDescent="0.25">
      <c r="A37" s="30" t="s">
        <v>102</v>
      </c>
      <c r="B37" s="34"/>
    </row>
    <row r="38" spans="1:2" ht="19" x14ac:dyDescent="0.2">
      <c r="A38" s="20">
        <v>2023</v>
      </c>
      <c r="B38" s="33">
        <v>0.17215482380127095</v>
      </c>
    </row>
    <row r="39" spans="1:2" ht="19" x14ac:dyDescent="0.2">
      <c r="A39" s="20">
        <v>2022</v>
      </c>
      <c r="B39" s="33">
        <v>0.21419153781613329</v>
      </c>
    </row>
    <row r="40" spans="1:2" ht="19" x14ac:dyDescent="0.2">
      <c r="A40" s="20">
        <v>2021</v>
      </c>
      <c r="B40" s="33">
        <v>0.19303675048355901</v>
      </c>
    </row>
    <row r="41" spans="1:2" ht="19" x14ac:dyDescent="0.2">
      <c r="A41" s="20">
        <v>2020</v>
      </c>
      <c r="B41" s="33">
        <v>0.16818532818532819</v>
      </c>
    </row>
    <row r="42" spans="1:2" ht="19" x14ac:dyDescent="0.2">
      <c r="A42" s="20">
        <v>2019</v>
      </c>
      <c r="B42" s="33">
        <v>0.15564529698805318</v>
      </c>
    </row>
    <row r="43" spans="1:2" ht="19" x14ac:dyDescent="0.25">
      <c r="A43" s="30" t="s">
        <v>103</v>
      </c>
      <c r="B43" s="34"/>
    </row>
    <row r="44" spans="1:2" ht="19" x14ac:dyDescent="0.2">
      <c r="A44" s="20">
        <v>2023</v>
      </c>
      <c r="B44" s="33">
        <v>0.34141397322611766</v>
      </c>
    </row>
    <row r="45" spans="1:2" ht="19" x14ac:dyDescent="0.2">
      <c r="A45" s="20">
        <v>2022</v>
      </c>
      <c r="B45" s="33">
        <v>0.3331625075357742</v>
      </c>
    </row>
    <row r="46" spans="1:2" ht="19" x14ac:dyDescent="0.2">
      <c r="A46" s="20">
        <v>2021</v>
      </c>
      <c r="B46" s="33">
        <v>0.36349420643168645</v>
      </c>
    </row>
    <row r="47" spans="1:2" ht="19" x14ac:dyDescent="0.2">
      <c r="A47" s="20">
        <v>2020</v>
      </c>
      <c r="B47" s="33">
        <v>0.22195570929870365</v>
      </c>
    </row>
    <row r="48" spans="1:2" ht="19" x14ac:dyDescent="0.2">
      <c r="A48" s="20">
        <v>2019</v>
      </c>
      <c r="B48" s="33">
        <v>0.19286244828714885</v>
      </c>
    </row>
    <row r="49" spans="1:2" ht="19" x14ac:dyDescent="0.25">
      <c r="A49" s="30" t="s">
        <v>104</v>
      </c>
      <c r="B49" s="34"/>
    </row>
    <row r="50" spans="1:2" ht="19" x14ac:dyDescent="0.2">
      <c r="A50" s="20">
        <v>2023</v>
      </c>
      <c r="B50" s="33">
        <v>0.98787252070094356</v>
      </c>
    </row>
    <row r="51" spans="1:2" ht="19" x14ac:dyDescent="0.2">
      <c r="A51" s="20">
        <v>2022</v>
      </c>
      <c r="B51" s="33">
        <v>1.1493166486875226</v>
      </c>
    </row>
    <row r="52" spans="1:2" ht="19" x14ac:dyDescent="0.2">
      <c r="A52" s="20">
        <v>2021</v>
      </c>
      <c r="B52" s="33">
        <v>1.0566550612508061</v>
      </c>
    </row>
    <row r="53" spans="1:2" ht="19" x14ac:dyDescent="0.2">
      <c r="A53" s="20">
        <v>2020</v>
      </c>
      <c r="B53" s="33">
        <v>1.2326462187902187</v>
      </c>
    </row>
    <row r="54" spans="1:2" ht="19" x14ac:dyDescent="0.2">
      <c r="A54" s="20">
        <v>2019</v>
      </c>
      <c r="B54" s="33">
        <v>1.2046381214126798</v>
      </c>
    </row>
    <row r="55" spans="1:2" ht="19" x14ac:dyDescent="0.25">
      <c r="A55" s="30" t="s">
        <v>105</v>
      </c>
      <c r="B55" s="34"/>
    </row>
    <row r="56" spans="1:2" ht="19" x14ac:dyDescent="0.2">
      <c r="A56" s="20">
        <v>2023</v>
      </c>
      <c r="B56" s="34">
        <v>57.145797598627787</v>
      </c>
    </row>
    <row r="57" spans="1:2" ht="19" x14ac:dyDescent="0.2">
      <c r="A57" s="20">
        <v>2022</v>
      </c>
      <c r="B57" s="34">
        <v>60.147163120567377</v>
      </c>
    </row>
    <row r="58" spans="1:2" ht="19" x14ac:dyDescent="0.2">
      <c r="A58" s="20">
        <v>2021</v>
      </c>
      <c r="B58" s="34">
        <v>81.760752688172033</v>
      </c>
    </row>
    <row r="59" spans="1:2" ht="19" x14ac:dyDescent="0.2">
      <c r="A59" s="20">
        <v>2020</v>
      </c>
      <c r="B59" s="34">
        <v>66.486238532110079</v>
      </c>
    </row>
    <row r="60" spans="1:2" ht="19" x14ac:dyDescent="0.2">
      <c r="A60" s="20">
        <v>2019</v>
      </c>
      <c r="B60" s="34">
        <v>30.824742268041234</v>
      </c>
    </row>
    <row r="61" spans="1:2" ht="19" x14ac:dyDescent="0.25">
      <c r="A61" s="30" t="s">
        <v>106</v>
      </c>
      <c r="B61" s="34"/>
    </row>
    <row r="62" spans="1:2" ht="19" x14ac:dyDescent="0.2">
      <c r="A62" s="20">
        <v>2023</v>
      </c>
      <c r="B62" s="34">
        <v>31.446666666666665</v>
      </c>
    </row>
    <row r="63" spans="1:2" ht="19" x14ac:dyDescent="0.2">
      <c r="A63" s="20">
        <v>2022</v>
      </c>
      <c r="B63" s="34">
        <v>28.564285714285713</v>
      </c>
    </row>
    <row r="64" spans="1:2" ht="19" x14ac:dyDescent="0.2">
      <c r="A64" s="20">
        <v>2021</v>
      </c>
      <c r="B64" s="34">
        <v>26.746153846153845</v>
      </c>
    </row>
    <row r="65" spans="1:2" ht="19" x14ac:dyDescent="0.2">
      <c r="A65" s="20">
        <v>2020</v>
      </c>
      <c r="B65" s="34">
        <v>25.658333333333335</v>
      </c>
    </row>
    <row r="66" spans="1:2" ht="19" x14ac:dyDescent="0.2">
      <c r="A66" s="20">
        <v>2019</v>
      </c>
      <c r="B66" s="34">
        <v>27.245454545454546</v>
      </c>
    </row>
    <row r="67" spans="1:2" ht="19" x14ac:dyDescent="0.2">
      <c r="A67" s="31" t="s">
        <v>107</v>
      </c>
    </row>
    <row r="68" spans="1:2" ht="19" x14ac:dyDescent="0.25">
      <c r="A68" s="20">
        <v>2023</v>
      </c>
      <c r="B68" s="14">
        <v>39.856521739130436</v>
      </c>
    </row>
    <row r="69" spans="1:2" ht="19" x14ac:dyDescent="0.25">
      <c r="A69" s="20">
        <v>2022</v>
      </c>
      <c r="B69" s="14">
        <v>36.621739130434783</v>
      </c>
    </row>
    <row r="70" spans="1:2" ht="19" x14ac:dyDescent="0.25">
      <c r="A70" s="20">
        <v>2021</v>
      </c>
      <c r="B70" s="14">
        <v>32.53478260869565</v>
      </c>
    </row>
    <row r="71" spans="1:2" ht="19" x14ac:dyDescent="0.25">
      <c r="A71" s="20">
        <v>2020</v>
      </c>
      <c r="B71" s="14">
        <v>26.213043478260868</v>
      </c>
    </row>
    <row r="72" spans="1:2" ht="19" x14ac:dyDescent="0.25">
      <c r="A72" s="20">
        <v>2019</v>
      </c>
      <c r="B72" s="14">
        <v>24.704347826086956</v>
      </c>
    </row>
    <row r="73" spans="1:2" ht="19" x14ac:dyDescent="0.2">
      <c r="A73" s="31" t="s">
        <v>108</v>
      </c>
    </row>
    <row r="74" spans="1:2" ht="19" x14ac:dyDescent="0.25">
      <c r="A74" s="20">
        <v>2023</v>
      </c>
      <c r="B74" s="14">
        <v>-154.65573770491804</v>
      </c>
    </row>
    <row r="75" spans="1:2" ht="19" x14ac:dyDescent="0.25">
      <c r="A75" s="20">
        <v>2022</v>
      </c>
      <c r="B75" s="14">
        <v>-56.323943661971832</v>
      </c>
    </row>
    <row r="76" spans="1:2" ht="19" x14ac:dyDescent="0.25">
      <c r="A76" s="20">
        <v>2021</v>
      </c>
      <c r="B76" s="14">
        <v>0.96717663421418631</v>
      </c>
    </row>
    <row r="77" spans="1:2" ht="19" x14ac:dyDescent="0.25">
      <c r="A77" s="20">
        <v>2020</v>
      </c>
      <c r="B77" s="14">
        <v>1.2395330112721417</v>
      </c>
    </row>
    <row r="78" spans="1:2" ht="19" x14ac:dyDescent="0.25">
      <c r="A78" s="20">
        <v>2019</v>
      </c>
      <c r="B78" s="14">
        <v>11.729941291585128</v>
      </c>
    </row>
    <row r="79" spans="1:2" ht="19" x14ac:dyDescent="0.2">
      <c r="A79" s="31" t="s">
        <v>109</v>
      </c>
    </row>
    <row r="80" spans="1:2" ht="19" x14ac:dyDescent="0.25">
      <c r="A80" s="20">
        <v>2023</v>
      </c>
      <c r="B80" s="14">
        <v>0.52418645558487242</v>
      </c>
    </row>
    <row r="81" spans="1:2" ht="19" x14ac:dyDescent="0.25">
      <c r="A81" s="20">
        <v>2022</v>
      </c>
      <c r="B81" s="14">
        <v>0.58217950806320251</v>
      </c>
    </row>
    <row r="82" spans="1:2" ht="19" x14ac:dyDescent="0.25">
      <c r="A82" s="20">
        <v>2021</v>
      </c>
      <c r="B82" s="14">
        <v>0.55046883618312192</v>
      </c>
    </row>
    <row r="83" spans="1:2" ht="19" x14ac:dyDescent="0.25">
      <c r="A83" s="20">
        <v>2020</v>
      </c>
      <c r="B83" s="14">
        <v>0.44367488286820128</v>
      </c>
    </row>
    <row r="84" spans="1:2" ht="19" x14ac:dyDescent="0.25">
      <c r="A84" s="20">
        <v>2019</v>
      </c>
      <c r="B84" s="14">
        <v>0.78356628547225748</v>
      </c>
    </row>
    <row r="85" spans="1:2" ht="19" x14ac:dyDescent="0.2">
      <c r="A85" s="31" t="s">
        <v>110</v>
      </c>
    </row>
    <row r="86" spans="1:2" ht="19" x14ac:dyDescent="0.25">
      <c r="A86" s="20">
        <v>2023</v>
      </c>
      <c r="B86" s="14">
        <v>0.17215482380127095</v>
      </c>
    </row>
    <row r="87" spans="1:2" ht="19" x14ac:dyDescent="0.25">
      <c r="A87" s="20">
        <v>2022</v>
      </c>
      <c r="B87" s="14">
        <v>0.21419153781613329</v>
      </c>
    </row>
    <row r="88" spans="1:2" ht="19" x14ac:dyDescent="0.25">
      <c r="A88" s="20">
        <v>2021</v>
      </c>
      <c r="B88" s="14">
        <v>0.19303675048355901</v>
      </c>
    </row>
    <row r="89" spans="1:2" ht="19" x14ac:dyDescent="0.25">
      <c r="A89" s="20">
        <v>2020</v>
      </c>
      <c r="B89" s="14">
        <v>0.16818532818532819</v>
      </c>
    </row>
    <row r="90" spans="1:2" ht="19" x14ac:dyDescent="0.25">
      <c r="A90" s="20">
        <v>2019</v>
      </c>
      <c r="B90" s="14">
        <v>0.15564529698805318</v>
      </c>
    </row>
    <row r="91" spans="1:2" ht="19" x14ac:dyDescent="0.2">
      <c r="A91" s="31" t="s">
        <v>111</v>
      </c>
    </row>
    <row r="92" spans="1:2" ht="19" x14ac:dyDescent="0.25">
      <c r="A92" s="20">
        <v>2023</v>
      </c>
      <c r="B92" s="14">
        <v>1.5775798069784708</v>
      </c>
    </row>
    <row r="93" spans="1:2" ht="19" x14ac:dyDescent="0.25">
      <c r="A93" s="20">
        <v>2022</v>
      </c>
      <c r="B93" s="14">
        <v>1.3698839340256568</v>
      </c>
    </row>
    <row r="94" spans="1:2" ht="19" x14ac:dyDescent="0.25">
      <c r="A94" s="20">
        <v>2021</v>
      </c>
      <c r="B94" s="14">
        <v>1.3450274557657107</v>
      </c>
    </row>
    <row r="95" spans="1:2" ht="19" x14ac:dyDescent="0.25">
      <c r="A95" s="20">
        <v>2020</v>
      </c>
      <c r="B95" s="14">
        <v>1.3947912360479537</v>
      </c>
    </row>
    <row r="96" spans="1:2" ht="19" x14ac:dyDescent="0.25">
      <c r="A96" s="20">
        <v>2019</v>
      </c>
      <c r="B96" s="14">
        <v>1.6596119929453264</v>
      </c>
    </row>
    <row r="97" spans="1:2" ht="19" x14ac:dyDescent="0.2">
      <c r="A97" s="31" t="s">
        <v>112</v>
      </c>
    </row>
    <row r="98" spans="1:2" ht="19" x14ac:dyDescent="0.25">
      <c r="A98" s="20">
        <v>2023</v>
      </c>
      <c r="B98" s="14">
        <v>0.67161593664934427</v>
      </c>
    </row>
    <row r="99" spans="1:2" ht="19" x14ac:dyDescent="0.25">
      <c r="A99" s="20">
        <v>2022</v>
      </c>
      <c r="B99" s="14">
        <v>0.35186316432498471</v>
      </c>
    </row>
    <row r="100" spans="1:2" ht="19" x14ac:dyDescent="0.25">
      <c r="A100" s="20">
        <v>2021</v>
      </c>
      <c r="B100" s="14">
        <v>0.20012202562538134</v>
      </c>
    </row>
    <row r="101" spans="1:2" ht="19" x14ac:dyDescent="0.25">
      <c r="A101" s="20">
        <v>2020</v>
      </c>
      <c r="B101" s="14">
        <v>0.36502687060768912</v>
      </c>
    </row>
    <row r="102" spans="1:2" ht="19" x14ac:dyDescent="0.25">
      <c r="A102" s="20">
        <v>2019</v>
      </c>
      <c r="B102" s="14">
        <v>0.55026455026455023</v>
      </c>
    </row>
    <row r="103" spans="1:2" ht="19" x14ac:dyDescent="0.2">
      <c r="A103" s="31" t="s">
        <v>113</v>
      </c>
    </row>
    <row r="104" spans="1:2" ht="19" x14ac:dyDescent="0.25">
      <c r="A104" s="20">
        <v>2023</v>
      </c>
      <c r="B104" s="14">
        <v>0.23360554318238061</v>
      </c>
    </row>
    <row r="105" spans="1:2" ht="19" x14ac:dyDescent="0.25">
      <c r="A105" s="20">
        <v>2022</v>
      </c>
      <c r="B105" s="14">
        <v>0.14996945632254124</v>
      </c>
    </row>
    <row r="106" spans="1:2" ht="19" x14ac:dyDescent="0.25">
      <c r="A106" s="20">
        <v>2021</v>
      </c>
      <c r="B106" s="14">
        <v>4.301403294691885E-2</v>
      </c>
    </row>
    <row r="107" spans="1:2" ht="19" x14ac:dyDescent="0.25">
      <c r="A107" s="20">
        <v>2020</v>
      </c>
      <c r="B107" s="14">
        <v>0.24266225713104589</v>
      </c>
    </row>
    <row r="108" spans="1:2" ht="19" x14ac:dyDescent="0.25">
      <c r="A108" s="20">
        <v>2019</v>
      </c>
      <c r="B108" s="14">
        <v>0.3168724279835391</v>
      </c>
    </row>
    <row r="109" spans="1:2" ht="19" x14ac:dyDescent="0.2">
      <c r="A109" s="31" t="s">
        <v>114</v>
      </c>
    </row>
    <row r="110" spans="1:2" ht="19" x14ac:dyDescent="0.25">
      <c r="A110" s="20">
        <v>2023</v>
      </c>
      <c r="B110" s="14">
        <v>0.25266023261568921</v>
      </c>
    </row>
    <row r="111" spans="1:2" ht="19" x14ac:dyDescent="0.25">
      <c r="A111" s="20">
        <v>2022</v>
      </c>
      <c r="B111" s="14">
        <v>0.82529016493585827</v>
      </c>
    </row>
    <row r="112" spans="1:2" ht="19" x14ac:dyDescent="0.25">
      <c r="A112" s="20">
        <v>2021</v>
      </c>
      <c r="B112" s="14">
        <v>0.24252593044539353</v>
      </c>
    </row>
    <row r="113" spans="1:2" ht="19" x14ac:dyDescent="0.25">
      <c r="A113" s="20">
        <v>2020</v>
      </c>
      <c r="B113" s="14">
        <v>0.6209177346010748</v>
      </c>
    </row>
    <row r="114" spans="1:2" ht="19" x14ac:dyDescent="0.25">
      <c r="A114" s="20">
        <v>2019</v>
      </c>
      <c r="B114" s="14">
        <v>0.91651969429747204</v>
      </c>
    </row>
    <row r="115" spans="1:2" ht="19" x14ac:dyDescent="0.2">
      <c r="A115" s="31" t="s">
        <v>115</v>
      </c>
    </row>
    <row r="116" spans="1:2" ht="19" x14ac:dyDescent="0.25">
      <c r="A116" s="20">
        <v>2023</v>
      </c>
      <c r="B116" s="14">
        <v>0.22472559214326979</v>
      </c>
    </row>
    <row r="117" spans="1:2" ht="19" x14ac:dyDescent="0.25">
      <c r="A117" s="20">
        <v>2022</v>
      </c>
      <c r="B117" s="14">
        <v>0.14515162411602542</v>
      </c>
    </row>
    <row r="118" spans="1:2" ht="19" x14ac:dyDescent="0.25">
      <c r="A118" s="20">
        <v>2021</v>
      </c>
      <c r="B118" s="14">
        <v>0.14584139264990328</v>
      </c>
    </row>
    <row r="119" spans="1:2" ht="19" x14ac:dyDescent="0.25">
      <c r="A119" s="20">
        <v>2020</v>
      </c>
      <c r="B119" s="14">
        <v>0.14749034749034748</v>
      </c>
    </row>
    <row r="120" spans="1:2" ht="19" x14ac:dyDescent="0.25">
      <c r="A120" s="20">
        <v>2019</v>
      </c>
      <c r="B120" s="14">
        <v>0.18879353861686018</v>
      </c>
    </row>
    <row r="121" spans="1:2" ht="19" x14ac:dyDescent="0.2">
      <c r="A121" s="31" t="s">
        <v>116</v>
      </c>
    </row>
    <row r="122" spans="1:2" ht="19" x14ac:dyDescent="0.25">
      <c r="A122" s="20">
        <v>2023</v>
      </c>
      <c r="B122" s="14">
        <v>4.6379741960331216E-3</v>
      </c>
    </row>
    <row r="123" spans="1:2" ht="19" x14ac:dyDescent="0.25">
      <c r="A123" s="20">
        <v>2022</v>
      </c>
      <c r="B123" s="14">
        <v>4.281433537096967E-3</v>
      </c>
    </row>
    <row r="124" spans="1:2" ht="19" x14ac:dyDescent="0.25">
      <c r="A124" s="20">
        <v>2021</v>
      </c>
      <c r="B124" s="14">
        <v>4.0399742101869763E-3</v>
      </c>
    </row>
    <row r="125" spans="1:2" ht="19" x14ac:dyDescent="0.25">
      <c r="A125" s="20">
        <v>2020</v>
      </c>
      <c r="B125" s="14">
        <v>4.9637065637065641E-3</v>
      </c>
    </row>
    <row r="126" spans="1:2" ht="19" x14ac:dyDescent="0.25">
      <c r="A126" s="20">
        <v>2019</v>
      </c>
      <c r="B126" s="14">
        <v>5.7092377587077232E-3</v>
      </c>
    </row>
    <row r="127" spans="1:2" ht="19" x14ac:dyDescent="0.2">
      <c r="A127" s="31" t="s">
        <v>117</v>
      </c>
    </row>
    <row r="128" spans="1:2" ht="19" x14ac:dyDescent="0.25">
      <c r="A128" s="20">
        <v>2023</v>
      </c>
      <c r="B128" s="14">
        <v>0.3207779703446948</v>
      </c>
    </row>
    <row r="129" spans="1:2" ht="19" x14ac:dyDescent="0.25">
      <c r="A129" s="20">
        <v>2022</v>
      </c>
      <c r="B129" s="14">
        <v>0.40660433896679854</v>
      </c>
    </row>
    <row r="130" spans="1:2" ht="19" x14ac:dyDescent="0.25">
      <c r="A130" s="20">
        <v>2021</v>
      </c>
      <c r="B130" s="14">
        <v>0.3921985815602837</v>
      </c>
    </row>
    <row r="131" spans="1:2" ht="19" x14ac:dyDescent="0.25">
      <c r="A131" s="20">
        <v>2020</v>
      </c>
      <c r="B131" s="14">
        <v>0.33576833976833975</v>
      </c>
    </row>
    <row r="132" spans="1:2" ht="19" x14ac:dyDescent="0.25">
      <c r="A132" s="20">
        <v>2019</v>
      </c>
      <c r="B132" s="14">
        <v>0.30186774356385665</v>
      </c>
    </row>
    <row r="133" spans="1:2" ht="19" x14ac:dyDescent="0.2">
      <c r="A133" s="31" t="s">
        <v>118</v>
      </c>
    </row>
    <row r="134" spans="1:2" ht="19" x14ac:dyDescent="0.25">
      <c r="A134" s="32">
        <v>2023</v>
      </c>
      <c r="B134" s="14">
        <v>1.0426127812064503</v>
      </c>
    </row>
    <row r="135" spans="1:2" ht="19" x14ac:dyDescent="0.25">
      <c r="A135" s="32">
        <v>2022</v>
      </c>
      <c r="B135" s="14">
        <v>1.2695263431952664</v>
      </c>
    </row>
    <row r="136" spans="1:2" ht="19" x14ac:dyDescent="0.25">
      <c r="A136" s="32">
        <v>2021</v>
      </c>
      <c r="B136" s="14">
        <v>1.0103925417075563</v>
      </c>
    </row>
    <row r="137" spans="1:2" ht="19" x14ac:dyDescent="0.25">
      <c r="A137" s="32">
        <v>2020</v>
      </c>
      <c r="B137" s="14">
        <v>1.5955721192411925</v>
      </c>
    </row>
    <row r="138" spans="1:2" ht="19" x14ac:dyDescent="0.25">
      <c r="A138" s="32">
        <v>2019</v>
      </c>
      <c r="B138" s="14">
        <v>2.0296929139041708</v>
      </c>
    </row>
    <row r="139" spans="1:2" ht="19" x14ac:dyDescent="0.2">
      <c r="A139" s="31" t="s">
        <v>119</v>
      </c>
    </row>
    <row r="140" spans="1:2" ht="19" x14ac:dyDescent="0.25">
      <c r="A140" s="32">
        <v>2023</v>
      </c>
      <c r="B140" s="14">
        <v>0.88263046408626999</v>
      </c>
    </row>
    <row r="141" spans="1:2" ht="19" x14ac:dyDescent="0.25">
      <c r="A141" s="32">
        <v>2022</v>
      </c>
      <c r="B141" s="14">
        <v>1.0095888769027928</v>
      </c>
    </row>
    <row r="142" spans="1:2" ht="19" x14ac:dyDescent="0.25">
      <c r="A142" s="32">
        <v>2021</v>
      </c>
      <c r="B142" s="14">
        <v>0.96492585428755639</v>
      </c>
    </row>
    <row r="143" spans="1:2" ht="19" x14ac:dyDescent="0.25">
      <c r="A143" s="32">
        <v>2020</v>
      </c>
      <c r="B143" s="14">
        <v>0.93111969111969117</v>
      </c>
    </row>
    <row r="144" spans="1:2" ht="19" x14ac:dyDescent="0.25">
      <c r="A144" s="32">
        <v>2019</v>
      </c>
      <c r="B144" s="14">
        <v>0.95608278647147904</v>
      </c>
    </row>
    <row r="145" spans="1:2" ht="19" x14ac:dyDescent="0.2">
      <c r="A145" s="31" t="s">
        <v>120</v>
      </c>
    </row>
    <row r="146" spans="1:2" ht="19" x14ac:dyDescent="0.25">
      <c r="A146" s="32">
        <v>2023</v>
      </c>
      <c r="B146" s="14">
        <v>25.186981389824023</v>
      </c>
    </row>
    <row r="147" spans="1:2" ht="19" x14ac:dyDescent="0.25">
      <c r="A147" s="32">
        <v>2022</v>
      </c>
      <c r="B147" s="14">
        <v>42.308789920615162</v>
      </c>
    </row>
    <row r="148" spans="1:2" ht="19" x14ac:dyDescent="0.25">
      <c r="A148" s="32">
        <v>2021</v>
      </c>
      <c r="B148" s="14">
        <v>52.96349744639091</v>
      </c>
    </row>
    <row r="149" spans="1:2" ht="19" x14ac:dyDescent="0.25">
      <c r="A149" s="32">
        <v>2020</v>
      </c>
      <c r="B149" s="14">
        <v>16.047092818532818</v>
      </c>
    </row>
    <row r="150" spans="1:2" ht="19" x14ac:dyDescent="0.25">
      <c r="A150" s="32">
        <v>2019</v>
      </c>
      <c r="B150" s="14">
        <v>16.963092831326293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36EFD57-7654-4595-B211-375BC8DA2520}">
  <ds:schemaRefs/>
</ds:datastoreItem>
</file>

<file path=customXml/itemProps2.xml><?xml version="1.0" encoding="utf-8"?>
<ds:datastoreItem xmlns:ds="http://schemas.openxmlformats.org/officeDocument/2006/customXml" ds:itemID="{A1C2AAAC-C1EC-4B62-A6E8-5744CD10D2CD}">
  <ds:schemaRefs/>
</ds:datastoreItem>
</file>

<file path=customXml/itemProps3.xml><?xml version="1.0" encoding="utf-8"?>
<ds:datastoreItem xmlns:ds="http://schemas.openxmlformats.org/officeDocument/2006/customXml" ds:itemID="{F9F6C9C1-D0C4-4A1F-980B-35B4BEB58347}">
  <ds:schemaRefs/>
</ds:datastoreItem>
</file>

<file path=customXml/itemProps4.xml><?xml version="1.0" encoding="utf-8"?>
<ds:datastoreItem xmlns:ds="http://schemas.openxmlformats.org/officeDocument/2006/customXml" ds:itemID="{8E45AF3E-D71C-4A00-9FA8-E84438998D8E}">
  <ds:schemaRefs/>
</ds:datastoreItem>
</file>

<file path=customXml/itemProps5.xml><?xml version="1.0" encoding="utf-8"?>
<ds:datastoreItem xmlns:ds="http://schemas.openxmlformats.org/officeDocument/2006/customXml" ds:itemID="{9334CF6D-0D98-41A1-B4B9-71B3E3A90251}">
  <ds:schemaRefs/>
</ds:datastoreItem>
</file>

<file path=customXml/itemProps6.xml><?xml version="1.0" encoding="utf-8"?>
<ds:datastoreItem xmlns:ds="http://schemas.openxmlformats.org/officeDocument/2006/customXml" ds:itemID="{6AD3F2A9-751D-4D5F-AC63-71CC74CEB72F}">
  <ds:schemaRefs/>
</ds:datastoreItem>
</file>

<file path=customXml/itemProps7.xml><?xml version="1.0" encoding="utf-8"?>
<ds:datastoreItem xmlns:ds="http://schemas.openxmlformats.org/officeDocument/2006/customXml" ds:itemID="{1D4F951B-DFAA-4617-94C1-9B444BD2F0B8}">
  <ds:schemaRefs/>
</ds:datastoreItem>
</file>

<file path=customXml/itemProps8.xml><?xml version="1.0" encoding="utf-8"?>
<ds:datastoreItem xmlns:ds="http://schemas.openxmlformats.org/officeDocument/2006/customXml" ds:itemID="{F8FEFE4E-855D-4551-9307-A84A0297B889}">
  <ds:schemaRefs/>
</ds:datastoreItem>
</file>

<file path=customXml/itemProps9.xml><?xml version="1.0" encoding="utf-8"?>
<ds:datastoreItem xmlns:ds="http://schemas.openxmlformats.org/officeDocument/2006/customXml" ds:itemID="{09979C4D-625C-4F6B-A963-A9ECDE9DC721}">
  <ds:schemaRefs/>
</ds:datastoreItem>
</file>

<file path=customXml/itemProps10.xml><?xml version="1.0" encoding="utf-8"?>
<ds:datastoreItem xmlns:ds="http://schemas.openxmlformats.org/officeDocument/2006/customXml" ds:itemID="{EB8887C7-3833-4C0E-9714-7B3460C79FE4}">
  <ds:schemaRefs/>
</ds:datastoreItem>
</file>

<file path=customXml/itemProps11.xml><?xml version="1.0" encoding="utf-8"?>
<ds:datastoreItem xmlns:ds="http://schemas.openxmlformats.org/officeDocument/2006/customXml" ds:itemID="{BF26F7FD-EB4A-4ED3-9226-1AB5B088CDF3}">
  <ds:schemaRefs/>
</ds:datastoreItem>
</file>

<file path=customXml/itemProps12.xml><?xml version="1.0" encoding="utf-8"?>
<ds:datastoreItem xmlns:ds="http://schemas.openxmlformats.org/officeDocument/2006/customXml" ds:itemID="{CA86FE40-ADBD-4558-920C-1A9699620CC4}">
  <ds:schemaRefs/>
</ds:datastoreItem>
</file>

<file path=customXml/itemProps13.xml><?xml version="1.0" encoding="utf-8"?>
<ds:datastoreItem xmlns:ds="http://schemas.openxmlformats.org/officeDocument/2006/customXml" ds:itemID="{FE86F0A1-BFB5-43A2-8E41-35F59AF9FE2B}">
  <ds:schemaRefs/>
</ds:datastoreItem>
</file>

<file path=customXml/itemProps14.xml><?xml version="1.0" encoding="utf-8"?>
<ds:datastoreItem xmlns:ds="http://schemas.openxmlformats.org/officeDocument/2006/customXml" ds:itemID="{E32ECA9C-7E24-41A3-B813-A7875359454E}">
  <ds:schemaRefs/>
</ds:datastoreItem>
</file>

<file path=customXml/itemProps15.xml><?xml version="1.0" encoding="utf-8"?>
<ds:datastoreItem xmlns:ds="http://schemas.openxmlformats.org/officeDocument/2006/customXml" ds:itemID="{67585E44-D86E-4E18-A235-C3ED33C2C66B}">
  <ds:schemaRefs/>
</ds:datastoreItem>
</file>

<file path=customXml/itemProps16.xml><?xml version="1.0" encoding="utf-8"?>
<ds:datastoreItem xmlns:ds="http://schemas.openxmlformats.org/officeDocument/2006/customXml" ds:itemID="{3EF7EA0C-B328-4A05-8F76-A1B5DF4CAB3B}">
  <ds:schemaRefs/>
</ds:datastoreItem>
</file>

<file path=customXml/itemProps17.xml><?xml version="1.0" encoding="utf-8"?>
<ds:datastoreItem xmlns:ds="http://schemas.openxmlformats.org/officeDocument/2006/customXml" ds:itemID="{141827F2-9BEC-4D17-B7D1-B042186AC4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Evaluation</vt:lpstr>
      <vt:lpstr>Analysis</vt:lpstr>
      <vt:lpstr> COMPARATIVE ANALYSIS OF FINANC</vt:lpstr>
      <vt:lpstr>Operational results</vt:lpstr>
      <vt:lpstr>Cashflow movement</vt:lpstr>
      <vt:lpstr>vertical analysis</vt:lpstr>
      <vt:lpstr>horizontal analysis</vt:lpstr>
      <vt:lpstr>For GPT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Mahdee Ahmed</dc:creator>
  <cp:lastModifiedBy>Mahdee Ahmed</cp:lastModifiedBy>
  <cp:lastPrinted>2025-01-13T05:26:41Z</cp:lastPrinted>
  <dcterms:created xsi:type="dcterms:W3CDTF">2025-01-11T07:15:15Z</dcterms:created>
  <dcterms:modified xsi:type="dcterms:W3CDTF">2025-01-26T11:52:53Z</dcterms:modified>
</cp:coreProperties>
</file>