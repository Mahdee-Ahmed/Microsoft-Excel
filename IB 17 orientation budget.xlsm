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2" codeName="{857A39E2-67AF-9BA6-E15C-A4B3A0C75593}"/>
  <workbookPr codeName="ThisWorkbook" hidePivotFieldList="1" defaultThemeVersion="166925"/>
  <mc:AlternateContent xmlns:mc="http://schemas.openxmlformats.org/markup-compatibility/2006">
    <mc:Choice Requires="x15">
      <x15ac:absPath xmlns:x15ac="http://schemas.microsoft.com/office/spreadsheetml/2010/11/ac" url="/Users/mahdeeahmed/Documents/EXcel/"/>
    </mc:Choice>
  </mc:AlternateContent>
  <xr:revisionPtr revIDLastSave="0" documentId="13_ncr:1_{1784BF05-326B-904D-8C80-98E150E19323}" xr6:coauthVersionLast="47" xr6:coauthVersionMax="47" xr10:uidLastSave="{00000000-0000-0000-0000-000000000000}"/>
  <bookViews>
    <workbookView xWindow="0" yWindow="500" windowWidth="28800" windowHeight="16640" xr2:uid="{1CF0EB57-BFAC-2043-8BB0-3085F1A44ED5}"/>
  </bookViews>
  <sheets>
    <sheet name="Dashboard" sheetId="1" r:id="rId1"/>
    <sheet name="Wing members" sheetId="5" r:id="rId2"/>
    <sheet name="Data" sheetId="2" r:id="rId3"/>
    <sheet name="Data Entry" sheetId="3" r:id="rId4"/>
    <sheet name="PIVOT" sheetId="4" state="hidden" r:id="rId5"/>
  </sheets>
  <definedNames>
    <definedName name="Slicer_Wing">#N/A</definedName>
  </definedNames>
  <calcPr calcId="191029"/>
  <pivotCaches>
    <pivotCache cacheId="1" r:id="rId6"/>
    <pivotCache cacheId="2"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19" i="4" l="1"/>
  <c r="B18" i="4"/>
  <c r="B20" i="4" l="1"/>
</calcChain>
</file>

<file path=xl/sharedStrings.xml><?xml version="1.0" encoding="utf-8"?>
<sst xmlns="http://schemas.openxmlformats.org/spreadsheetml/2006/main" count="148" uniqueCount="93">
  <si>
    <t>Date</t>
  </si>
  <si>
    <t>Description</t>
  </si>
  <si>
    <t>Amount</t>
  </si>
  <si>
    <t>Donation</t>
  </si>
  <si>
    <t>Wing</t>
  </si>
  <si>
    <t>Expense</t>
  </si>
  <si>
    <t>Decoration</t>
  </si>
  <si>
    <t>Logistics</t>
  </si>
  <si>
    <t>Cultural</t>
  </si>
  <si>
    <t>Food</t>
  </si>
  <si>
    <t>Photography</t>
  </si>
  <si>
    <t>Date (mm/dd/yy)</t>
  </si>
  <si>
    <t>Date (mm.dd.yy)</t>
  </si>
  <si>
    <t>food</t>
  </si>
  <si>
    <t>decoration</t>
  </si>
  <si>
    <t>cultural</t>
  </si>
  <si>
    <t>logistics</t>
  </si>
  <si>
    <t>photography</t>
  </si>
  <si>
    <t>Sum of Amount</t>
  </si>
  <si>
    <t>Row Labels</t>
  </si>
  <si>
    <t>Grand Total</t>
  </si>
  <si>
    <t>total donation</t>
  </si>
  <si>
    <t>total expense</t>
  </si>
  <si>
    <t>remaining</t>
  </si>
  <si>
    <t>Auditorium</t>
  </si>
  <si>
    <t>WING</t>
  </si>
  <si>
    <t>LOGISTICS</t>
  </si>
  <si>
    <t>FOOD</t>
  </si>
  <si>
    <t>ACCOUNTS</t>
  </si>
  <si>
    <t>CULTURAL</t>
  </si>
  <si>
    <t>WING HEADS</t>
  </si>
  <si>
    <t>NISHU &amp; NAZIA</t>
  </si>
  <si>
    <t>ISFAR &amp; REZVI</t>
  </si>
  <si>
    <t>SALEH</t>
  </si>
  <si>
    <t>ADIB &amp; MAHDEE</t>
  </si>
  <si>
    <t>AFIA &amp; AYAAN</t>
  </si>
  <si>
    <t>Azmain</t>
  </si>
  <si>
    <t>Ushra</t>
  </si>
  <si>
    <t>Sourov</t>
  </si>
  <si>
    <t>Khalil</t>
  </si>
  <si>
    <t>Anjuman </t>
  </si>
  <si>
    <t>Dibyo</t>
  </si>
  <si>
    <t>Arif</t>
  </si>
  <si>
    <t>Sumi</t>
  </si>
  <si>
    <t>Sajeeb</t>
  </si>
  <si>
    <t>Laizu Mitu</t>
  </si>
  <si>
    <t>Rume Sultana</t>
  </si>
  <si>
    <t>Smita</t>
  </si>
  <si>
    <t>Rahmi</t>
  </si>
  <si>
    <t>Fatema</t>
  </si>
  <si>
    <t>Samima</t>
  </si>
  <si>
    <t>Sonali</t>
  </si>
  <si>
    <t>Rifa</t>
  </si>
  <si>
    <t>Priya</t>
  </si>
  <si>
    <t>Rafa</t>
  </si>
  <si>
    <t>Lamia</t>
  </si>
  <si>
    <t>Suruvi</t>
  </si>
  <si>
    <t>Swapna</t>
  </si>
  <si>
    <t>Bibi Sumaiya</t>
  </si>
  <si>
    <t>Ritu</t>
  </si>
  <si>
    <t>Tasnia Jannat</t>
  </si>
  <si>
    <t>Sazzad</t>
  </si>
  <si>
    <t>Ahnaf</t>
  </si>
  <si>
    <t>Naim</t>
  </si>
  <si>
    <t/>
  </si>
  <si>
    <t>Zahid</t>
  </si>
  <si>
    <t>Arshadul</t>
  </si>
  <si>
    <t>Ovro</t>
  </si>
  <si>
    <t>Sadman</t>
  </si>
  <si>
    <t>Shahik</t>
  </si>
  <si>
    <t>Abrar Bari</t>
  </si>
  <si>
    <t>Shihab Hossain</t>
  </si>
  <si>
    <t>Sajib</t>
  </si>
  <si>
    <t xml:space="preserve">Decoration (Girls) </t>
  </si>
  <si>
    <t xml:space="preserve">Decoration (Boys) </t>
  </si>
  <si>
    <t>Rizone Faiyaz</t>
  </si>
  <si>
    <t>Arshee</t>
  </si>
  <si>
    <t xml:space="preserve">Gifts (keyring 20*100)
(pad 40*100) </t>
  </si>
  <si>
    <t>cultural (practice food)</t>
  </si>
  <si>
    <t>cultural practice food</t>
  </si>
  <si>
    <t xml:space="preserve">band </t>
  </si>
  <si>
    <t>Sound + light</t>
  </si>
  <si>
    <t>food+ food wing transportation</t>
  </si>
  <si>
    <t>Crest</t>
  </si>
  <si>
    <t>DECORATION + Banner</t>
  </si>
  <si>
    <t>TSC Tips</t>
  </si>
  <si>
    <t>Guest food + flower</t>
  </si>
  <si>
    <t>Transportation cost for full event</t>
  </si>
  <si>
    <t>Others</t>
  </si>
  <si>
    <t>Cashbook</t>
  </si>
  <si>
    <t>Tahmid Sponsor</t>
  </si>
  <si>
    <t>Adib &amp; friends</t>
  </si>
  <si>
    <t>Isfar Collection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</si>
</sst>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409]mmmm\ d\,\ yyyy;@"/>
  </numFmts>
  <fonts count="16">
    <font>
      <sz val="12"/>
      <color theme="1"/>
      <name val="Calibri"/>
      <family val="2"/>
      <scheme val="minor"/>
    </font>
    <font>
      <sz val="18"/>
      <color theme="1"/>
      <name val="Calibri"/>
      <family val="2"/>
      <scheme val="minor"/>
    </font>
    <font>
      <sz val="16"/>
      <color theme="1"/>
      <name val="Britannic Bold"/>
    </font>
    <font>
      <sz val="18"/>
      <color theme="0"/>
      <name val="Britannic Bold"/>
    </font>
    <font>
      <b/>
      <sz val="16"/>
      <color theme="1"/>
      <name val="Calibri"/>
      <family val="2"/>
      <scheme val="minor"/>
    </font>
    <font>
      <sz val="8"/>
      <name val="Calibri"/>
      <family val="2"/>
      <scheme val="minor"/>
    </font>
    <font>
      <b/>
      <sz val="18"/>
      <color theme="1"/>
      <name val="Calibri"/>
      <family val="2"/>
      <scheme val="minor"/>
    </font>
    <font>
      <sz val="12"/>
      <color theme="1"/>
      <name val="Calibri"/>
      <family val="2"/>
      <scheme val="minor"/>
    </font>
    <font>
      <sz val="12"/>
      <color theme="1"/>
      <name val="Aptos Narrow"/>
    </font>
    <font>
      <b/>
      <sz val="12"/>
      <color theme="0"/>
      <name val="Aptos Narrow"/>
    </font>
    <font>
      <b/>
      <sz val="14"/>
      <color theme="1"/>
      <name val="Calibri"/>
      <family val="2"/>
      <scheme val="minor"/>
    </font>
    <font>
      <b/>
      <sz val="14"/>
      <color theme="0"/>
      <name val="Aptos Narrow"/>
    </font>
    <font>
      <b/>
      <sz val="22"/>
      <color theme="0"/>
      <name val="Calibri"/>
      <family val="2"/>
      <scheme val="minor"/>
    </font>
    <font>
      <sz val="20"/>
      <color theme="0"/>
      <name val="BM DoHyeon OTF"/>
      <family val="2"/>
      <charset val="129"/>
    </font>
    <font>
      <sz val="12"/>
      <color theme="1"/>
      <name val="Calibri Light"/>
      <family val="2"/>
      <scheme val="major"/>
    </font>
    <font>
      <sz val="16"/>
      <color theme="1"/>
      <name val="Calibri Light"/>
      <family val="2"/>
      <scheme val="major"/>
    </font>
  </fonts>
  <fills count="9">
    <fill>
      <patternFill patternType="none"/>
    </fill>
    <fill>
      <patternFill patternType="gray125"/>
    </fill>
    <fill>
      <patternFill patternType="solid">
        <fgColor theme="4"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002060"/>
        <bgColor indexed="64"/>
      </patternFill>
    </fill>
    <fill>
      <patternFill patternType="solid">
        <fgColor theme="4" tint="-0.249977111117893"/>
        <bgColor indexed="64"/>
      </patternFill>
    </fill>
    <fill>
      <patternFill patternType="solid">
        <fgColor rgb="FFFFC000"/>
        <bgColor indexed="64"/>
      </patternFill>
    </fill>
    <fill>
      <patternFill patternType="solid">
        <fgColor rgb="FFFF96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9"/>
      </left>
      <right style="thin">
        <color theme="9"/>
      </right>
      <top style="thin">
        <color theme="9"/>
      </top>
      <bottom style="thin">
        <color indexed="64"/>
      </bottom>
      <diagonal/>
    </border>
    <border>
      <left style="thin">
        <color theme="9"/>
      </left>
      <right style="thin">
        <color theme="9"/>
      </right>
      <top/>
      <bottom style="thin">
        <color indexed="64"/>
      </bottom>
      <diagonal/>
    </border>
    <border>
      <left style="thin">
        <color theme="0"/>
      </left>
      <right/>
      <top/>
      <bottom/>
      <diagonal/>
    </border>
  </borders>
  <cellStyleXfs count="2">
    <xf numFmtId="0" fontId="0" fillId="0" borderId="0"/>
    <xf numFmtId="43" fontId="7" fillId="0" borderId="0" applyFont="0" applyFill="0" applyBorder="0" applyAlignment="0" applyProtection="0"/>
  </cellStyleXfs>
  <cellXfs count="34">
    <xf numFmtId="0" fontId="0" fillId="0" borderId="0" xfId="0"/>
    <xf numFmtId="0" fontId="2" fillId="0" borderId="0" xfId="0" applyFont="1"/>
    <xf numFmtId="0" fontId="2" fillId="3" borderId="0" xfId="0" applyFont="1" applyFill="1"/>
    <xf numFmtId="0" fontId="1" fillId="0" borderId="0" xfId="0" applyFont="1" applyAlignment="1">
      <alignment horizontal="center" vertical="center"/>
    </xf>
    <xf numFmtId="0" fontId="1" fillId="0" borderId="1" xfId="0" applyFont="1" applyBorder="1" applyAlignment="1">
      <alignment horizontal="center" vertical="center"/>
    </xf>
    <xf numFmtId="0" fontId="4" fillId="0" borderId="0" xfId="0" applyFont="1" applyAlignment="1">
      <alignment horizontal="center" vertical="center"/>
    </xf>
    <xf numFmtId="14" fontId="4" fillId="0" borderId="0" xfId="0" applyNumberFormat="1" applyFont="1" applyAlignment="1">
      <alignment horizontal="center" vertical="center"/>
    </xf>
    <xf numFmtId="0" fontId="4" fillId="0" borderId="0" xfId="0" applyFont="1"/>
    <xf numFmtId="0" fontId="6" fillId="4" borderId="0" xfId="0" applyFont="1" applyFill="1"/>
    <xf numFmtId="0" fontId="0" fillId="0" borderId="0" xfId="0" pivotButton="1"/>
    <xf numFmtId="0" fontId="0" fillId="0" borderId="0" xfId="0" applyAlignment="1">
      <alignment horizontal="left"/>
    </xf>
    <xf numFmtId="14" fontId="0" fillId="0" borderId="0" xfId="0" applyNumberFormat="1" applyAlignment="1">
      <alignment horizontal="left"/>
    </xf>
    <xf numFmtId="164" fontId="0" fillId="0" borderId="0" xfId="1" applyNumberFormat="1" applyFont="1"/>
    <xf numFmtId="164" fontId="0" fillId="0" borderId="0" xfId="0" applyNumberFormat="1"/>
    <xf numFmtId="0" fontId="8" fillId="0" borderId="0" xfId="0" applyFont="1"/>
    <xf numFmtId="0" fontId="11" fillId="2" borderId="0" xfId="0" applyFont="1" applyFill="1" applyAlignment="1">
      <alignment horizontal="center" vertical="center"/>
    </xf>
    <xf numFmtId="0" fontId="9" fillId="6" borderId="0" xfId="0" applyFont="1" applyFill="1"/>
    <xf numFmtId="0" fontId="12" fillId="5" borderId="0" xfId="0" applyFont="1" applyFill="1"/>
    <xf numFmtId="0" fontId="10" fillId="7" borderId="2" xfId="0" applyFont="1" applyFill="1" applyBorder="1"/>
    <xf numFmtId="0" fontId="10" fillId="8" borderId="3" xfId="0" applyFont="1" applyFill="1" applyBorder="1"/>
    <xf numFmtId="0" fontId="10" fillId="8" borderId="4" xfId="0" applyFont="1" applyFill="1" applyBorder="1"/>
    <xf numFmtId="165" fontId="1" fillId="0" borderId="0" xfId="0" applyNumberFormat="1" applyFont="1" applyAlignment="1">
      <alignment horizontal="center" vertical="center"/>
    </xf>
    <xf numFmtId="0" fontId="4" fillId="0" borderId="0" xfId="0" applyFont="1" applyAlignment="1">
      <alignment horizontal="center" vertical="center" wrapText="1"/>
    </xf>
    <xf numFmtId="165" fontId="14" fillId="0" borderId="0" xfId="0" applyNumberFormat="1" applyFont="1"/>
    <xf numFmtId="0" fontId="14" fillId="0" borderId="0" xfId="0" applyFont="1"/>
    <xf numFmtId="165" fontId="15" fillId="0" borderId="0" xfId="0" applyNumberFormat="1" applyFont="1" applyAlignment="1">
      <alignment horizontal="center" vertical="center"/>
    </xf>
    <xf numFmtId="14" fontId="15" fillId="0" borderId="0" xfId="0" applyNumberFormat="1" applyFont="1" applyAlignment="1">
      <alignment horizontal="center" vertical="center"/>
    </xf>
    <xf numFmtId="0" fontId="15" fillId="0" borderId="0" xfId="0" applyFont="1" applyAlignment="1">
      <alignment horizontal="center" vertical="center"/>
    </xf>
    <xf numFmtId="0" fontId="15" fillId="0" borderId="0" xfId="0" applyFont="1" applyAlignment="1">
      <alignment horizontal="center" vertical="center" wrapText="1"/>
    </xf>
    <xf numFmtId="0" fontId="12" fillId="5" borderId="0" xfId="0" applyFont="1" applyFill="1" applyAlignment="1">
      <alignment horizontal="center"/>
    </xf>
    <xf numFmtId="0" fontId="13" fillId="2" borderId="0" xfId="0" applyFont="1" applyFill="1" applyAlignment="1">
      <alignment horizontal="center" vertical="center"/>
    </xf>
    <xf numFmtId="0" fontId="13" fillId="2" borderId="5" xfId="0" applyFont="1" applyFill="1" applyBorder="1" applyAlignment="1">
      <alignment horizontal="center" vertical="center"/>
    </xf>
    <xf numFmtId="0" fontId="3" fillId="2" borderId="0" xfId="0" applyFont="1" applyFill="1" applyAlignment="1">
      <alignment horizontal="center"/>
    </xf>
    <xf numFmtId="0" fontId="0" fillId="0" borderId="0" xfId="0" applyNumberFormat="1"/>
  </cellXfs>
  <cellStyles count="2">
    <cellStyle name="Comma" xfId="1" builtinId="3"/>
    <cellStyle name="Normal" xfId="0" builtinId="0"/>
  </cellStyles>
  <dxfs count="26">
    <dxf>
      <font>
        <color rgb="FF9C0006"/>
      </font>
    </dxf>
    <dxf>
      <font>
        <color rgb="FF9C0006"/>
      </font>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numFmt numFmtId="19" formatCode="m/d/yy"/>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numFmt numFmtId="165" formatCode="[$-409]mmmm\ d\,\ yyyy;@"/>
      <alignment horizontal="center" vertical="center" textRotation="0" wrapText="0" indent="0" justifyLastLine="0" shrinkToFit="0" readingOrder="0"/>
    </dxf>
    <dxf>
      <font>
        <b val="0"/>
        <strike val="0"/>
        <outline val="0"/>
        <shadow val="0"/>
        <u val="none"/>
        <vertAlign val="baseline"/>
        <color theme="1"/>
        <name val="Calibri Light"/>
        <family val="2"/>
        <scheme val="major"/>
      </font>
      <alignment horizontal="center" vertical="center" textRotation="0" indent="0" justifyLastLine="0" shrinkToFit="0" readingOrder="0"/>
    </dxf>
    <dxf>
      <border>
        <bottom style="thin">
          <color indexed="64"/>
        </bottom>
      </border>
    </dxf>
    <dxf>
      <font>
        <strike val="0"/>
        <outline val="0"/>
        <shadow val="0"/>
        <u val="none"/>
        <vertAlign val="baseline"/>
        <sz val="18"/>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strike val="0"/>
        <outline val="0"/>
        <shadow val="0"/>
        <u val="none"/>
        <vertAlign val="baseline"/>
        <sz val="16"/>
        <color theme="1"/>
        <name val="Calibri Light"/>
        <family val="2"/>
        <scheme val="major"/>
      </font>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numFmt numFmtId="165" formatCode="[$-409]mmmm\ d\,\ yyyy;@"/>
      <alignment horizontal="center" vertical="center" textRotation="0" wrapText="0" indent="0" justifyLastLine="0" shrinkToFit="0" readingOrder="0"/>
    </dxf>
    <dxf>
      <font>
        <b val="0"/>
        <strike val="0"/>
        <outline val="0"/>
        <shadow val="0"/>
        <u val="none"/>
        <vertAlign val="baseline"/>
        <sz val="16"/>
        <color theme="1"/>
        <name val="Calibri Light"/>
        <family val="2"/>
        <scheme val="major"/>
      </font>
    </dxf>
    <dxf>
      <font>
        <strike val="0"/>
        <outline val="0"/>
        <shadow val="0"/>
        <u val="none"/>
        <vertAlign val="baseline"/>
        <sz val="1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scheme val="none"/>
      </font>
    </dxf>
    <dxf>
      <font>
        <b val="0"/>
        <i val="0"/>
        <strike val="0"/>
        <condense val="0"/>
        <extend val="0"/>
        <outline val="0"/>
        <shadow val="0"/>
        <u val="none"/>
        <vertAlign val="baseline"/>
        <sz val="12"/>
        <color theme="1"/>
        <name val="Aptos Narrow"/>
        <scheme val="none"/>
      </font>
    </dxf>
    <dxf>
      <font>
        <b val="0"/>
        <i val="0"/>
        <strike val="0"/>
        <condense val="0"/>
        <extend val="0"/>
        <outline val="0"/>
        <shadow val="0"/>
        <u val="none"/>
        <vertAlign val="baseline"/>
        <sz val="12"/>
        <color theme="1"/>
        <name val="Aptos Narrow"/>
        <scheme val="none"/>
      </font>
    </dxf>
    <dxf>
      <font>
        <b val="0"/>
        <i val="0"/>
        <strike val="0"/>
        <condense val="0"/>
        <extend val="0"/>
        <outline val="0"/>
        <shadow val="0"/>
        <u val="none"/>
        <vertAlign val="baseline"/>
        <sz val="12"/>
        <color theme="1"/>
        <name val="Aptos Narrow"/>
        <scheme val="none"/>
      </font>
    </dxf>
    <dxf>
      <font>
        <b val="0"/>
        <i val="0"/>
        <strike val="0"/>
        <condense val="0"/>
        <extend val="0"/>
        <outline val="0"/>
        <shadow val="0"/>
        <u val="none"/>
        <vertAlign val="baseline"/>
        <sz val="12"/>
        <color theme="1"/>
        <name val="Aptos Narrow"/>
        <scheme val="none"/>
      </font>
    </dxf>
    <dxf>
      <font>
        <b val="0"/>
        <i val="0"/>
        <strike val="0"/>
        <condense val="0"/>
        <extend val="0"/>
        <outline val="0"/>
        <shadow val="0"/>
        <u val="none"/>
        <vertAlign val="baseline"/>
        <sz val="12"/>
        <color theme="1"/>
        <name val="Aptos Narrow"/>
        <scheme val="none"/>
      </font>
    </dxf>
    <dxf>
      <font>
        <b val="0"/>
        <i val="0"/>
        <strike val="0"/>
        <condense val="0"/>
        <extend val="0"/>
        <outline val="0"/>
        <shadow val="0"/>
        <u val="none"/>
        <vertAlign val="baseline"/>
        <sz val="12"/>
        <color theme="1"/>
        <name val="Aptos Narrow"/>
        <scheme val="none"/>
      </font>
    </dxf>
    <dxf>
      <font>
        <b/>
        <i val="0"/>
        <strike val="0"/>
        <condense val="0"/>
        <extend val="0"/>
        <outline val="0"/>
        <shadow val="0"/>
        <u val="none"/>
        <vertAlign val="baseline"/>
        <sz val="12"/>
        <color theme="0"/>
        <name val="Aptos Narrow"/>
        <scheme val="none"/>
      </font>
      <fill>
        <patternFill patternType="solid">
          <fgColor indexed="64"/>
          <bgColor theme="4" tint="-0.249977111117893"/>
        </patternFill>
      </fill>
    </dxf>
  </dxfs>
  <tableStyles count="0" defaultTableStyle="TableStyleMedium2" defaultPivotStyle="PivotStyleLight16"/>
  <colors>
    <mruColors>
      <color rgb="FF000F31"/>
      <color rgb="FFF14829"/>
      <color rgb="FFFBA900"/>
      <color rgb="FFFF9600"/>
      <color rgb="FF00B0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[IB 17 orientation budget.xlsm]PIVOT!wing wise expense</c:name>
    <c:fmtId val="2"/>
  </c:pivotSource>
  <c:chart>
    <c:autoTitleDeleted val="1"/>
    <c:pivotFmts>
      <c:pivotFmt>
        <c:idx val="0"/>
        <c:spPr>
          <a:solidFill>
            <a:schemeClr val="accent1"/>
          </a:solidFill>
          <a:ln>
            <a:noFill/>
          </a:ln>
          <a:effectLst/>
        </c:spPr>
        <c:dLbl>
          <c:idx val="0"/>
          <c:spPr>
            <a:no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tx1">
              <a:lumMod val="85000"/>
              <a:lumOff val="1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tx1">
              <a:lumMod val="50000"/>
              <a:lumOff val="50000"/>
            </a:schemeClr>
          </a:solidFill>
          <a:ln>
            <a:noFill/>
          </a:ln>
          <a:effectLst/>
        </c:spPr>
      </c:pivotFmt>
      <c:pivotFmt>
        <c:idx val="3"/>
        <c:spPr>
          <a:solidFill>
            <a:schemeClr val="bg1">
              <a:lumMod val="50000"/>
              <a:alpha val="53406"/>
            </a:schemeClr>
          </a:solidFill>
          <a:ln>
            <a:noFill/>
          </a:ln>
          <a:effectLst/>
        </c:spPr>
      </c:pivotFmt>
      <c:pivotFmt>
        <c:idx val="4"/>
        <c:spPr>
          <a:solidFill>
            <a:schemeClr val="bg1">
              <a:lumMod val="75000"/>
            </a:schemeClr>
          </a:solidFill>
          <a:ln>
            <a:noFill/>
          </a:ln>
          <a:effectLst/>
        </c:spPr>
      </c:pivotFmt>
      <c:pivotFmt>
        <c:idx val="5"/>
        <c:spPr>
          <a:solidFill>
            <a:schemeClr val="accent1"/>
          </a:solidFill>
          <a:ln>
            <a:noFill/>
          </a:ln>
          <a:effectLst/>
        </c:spPr>
        <c:dLbl>
          <c:idx val="0"/>
          <c:spPr>
            <a:no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bg1">
              <a:lumMod val="75000"/>
            </a:schemeClr>
          </a:solidFill>
          <a:ln>
            <a:noFill/>
          </a:ln>
          <a:effectLst/>
        </c:spPr>
      </c:pivotFmt>
      <c:pivotFmt>
        <c:idx val="7"/>
        <c:spPr>
          <a:solidFill>
            <a:schemeClr val="bg1">
              <a:lumMod val="50000"/>
              <a:alpha val="53406"/>
            </a:schemeClr>
          </a:solidFill>
          <a:ln>
            <a:noFill/>
          </a:ln>
          <a:effectLst/>
        </c:spPr>
      </c:pivotFmt>
      <c:pivotFmt>
        <c:idx val="8"/>
        <c:spPr>
          <a:solidFill>
            <a:schemeClr val="tx1">
              <a:lumMod val="50000"/>
              <a:lumOff val="50000"/>
            </a:schemeClr>
          </a:solidFill>
          <a:ln>
            <a:noFill/>
          </a:ln>
          <a:effectLst/>
        </c:spPr>
      </c:pivotFmt>
      <c:pivotFmt>
        <c:idx val="9"/>
        <c:spPr>
          <a:solidFill>
            <a:schemeClr val="tx1">
              <a:lumMod val="85000"/>
              <a:lumOff val="1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20000"/>
              <a:lumOff val="80000"/>
            </a:schemeClr>
          </a:solidFill>
          <a:ln>
            <a:solidFill>
              <a:schemeClr val="bg1"/>
            </a:solidFill>
          </a:ln>
          <a:effectLst/>
        </c:spPr>
      </c:pivotFmt>
      <c:pivotFmt>
        <c:idx val="12"/>
        <c:spPr>
          <a:solidFill>
            <a:schemeClr val="accent1">
              <a:lumMod val="60000"/>
              <a:lumOff val="40000"/>
            </a:schemeClr>
          </a:solidFill>
          <a:ln>
            <a:noFill/>
          </a:ln>
          <a:effectLst/>
        </c:spPr>
      </c:pivotFmt>
      <c:pivotFmt>
        <c:idx val="13"/>
        <c:spPr>
          <a:solidFill>
            <a:srgbClr val="002060"/>
          </a:solidFill>
          <a:ln>
            <a:noFill/>
          </a:ln>
          <a:effectLst/>
        </c:spPr>
      </c:pivotFmt>
      <c:pivotFmt>
        <c:idx val="14"/>
        <c:spPr>
          <a:solidFill>
            <a:schemeClr val="tx1">
              <a:lumMod val="85000"/>
              <a:lumOff val="15000"/>
            </a:schemeClr>
          </a:solidFill>
          <a:ln>
            <a:noFill/>
          </a:ln>
          <a:effectLst/>
        </c:spPr>
      </c:pivotFmt>
      <c:pivotFmt>
        <c:idx val="15"/>
        <c:spPr>
          <a:solidFill>
            <a:srgbClr val="000F31"/>
          </a:solidFill>
          <a:ln>
            <a:noFill/>
          </a:ln>
          <a:effectLst/>
        </c:spPr>
      </c:pivotFmt>
    </c:pivotFmts>
    <c:plotArea>
      <c:layout>
        <c:manualLayout>
          <c:layoutTarget val="inner"/>
          <c:xMode val="edge"/>
          <c:yMode val="edge"/>
          <c:x val="0.17622267077021464"/>
          <c:y val="5.2745023962819111E-2"/>
          <c:w val="0.81365242415764016"/>
          <c:h val="0.93981481481481477"/>
        </c:manualLayout>
      </c:layout>
      <c:barChart>
        <c:barDir val="bar"/>
        <c:grouping val="clustered"/>
        <c:varyColors val="0"/>
        <c:ser>
          <c:idx val="0"/>
          <c:order val="0"/>
          <c:tx>
            <c:strRef>
              <c:f>PIVOT!$B$1</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20000"/>
                  <a:lumOff val="80000"/>
                </a:schemeClr>
              </a:solidFill>
              <a:ln>
                <a:solidFill>
                  <a:schemeClr val="bg1"/>
                </a:solidFill>
              </a:ln>
              <a:effectLst/>
            </c:spPr>
            <c:extLst>
              <c:ext xmlns:c16="http://schemas.microsoft.com/office/drawing/2014/chart" uri="{C3380CC4-5D6E-409C-BE32-E72D297353CC}">
                <c16:uniqueId val="{00000001-B88F-2945-917D-716E17775826}"/>
              </c:ext>
            </c:extLst>
          </c:dPt>
          <c:dPt>
            <c:idx val="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B88F-2945-917D-716E17775826}"/>
              </c:ext>
            </c:extLst>
          </c:dPt>
          <c:dPt>
            <c:idx val="2"/>
            <c:invertIfNegative val="0"/>
            <c:bubble3D val="0"/>
            <c:spPr>
              <a:solidFill>
                <a:srgbClr val="002060"/>
              </a:solidFill>
              <a:ln>
                <a:noFill/>
              </a:ln>
              <a:effectLst/>
            </c:spPr>
            <c:extLst>
              <c:ext xmlns:c16="http://schemas.microsoft.com/office/drawing/2014/chart" uri="{C3380CC4-5D6E-409C-BE32-E72D297353CC}">
                <c16:uniqueId val="{00000005-B88F-2945-917D-716E17775826}"/>
              </c:ext>
            </c:extLst>
          </c:dPt>
          <c:dPt>
            <c:idx val="3"/>
            <c:invertIfNegative val="0"/>
            <c:bubble3D val="0"/>
            <c:spPr>
              <a:solidFill>
                <a:srgbClr val="000F31"/>
              </a:solidFill>
              <a:ln>
                <a:noFill/>
              </a:ln>
              <a:effectLst/>
            </c:spPr>
            <c:extLst>
              <c:ext xmlns:c16="http://schemas.microsoft.com/office/drawing/2014/chart" uri="{C3380CC4-5D6E-409C-BE32-E72D297353CC}">
                <c16:uniqueId val="{00000007-B88F-2945-917D-716E17775826}"/>
              </c:ext>
            </c:extLst>
          </c:dPt>
          <c:dPt>
            <c:idx val="4"/>
            <c:invertIfNegative val="0"/>
            <c:bubble3D val="0"/>
            <c:extLst>
              <c:ext xmlns:c16="http://schemas.microsoft.com/office/drawing/2014/chart" uri="{C3380CC4-5D6E-409C-BE32-E72D297353CC}">
                <c16:uniqueId val="{00000013-B88F-2945-917D-716E177758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PIVOT!$A$2:$A$6</c:f>
              <c:strCache>
                <c:ptCount val="4"/>
                <c:pt idx="0">
                  <c:v>cultural</c:v>
                </c:pt>
                <c:pt idx="1">
                  <c:v>decoration</c:v>
                </c:pt>
                <c:pt idx="2">
                  <c:v>food</c:v>
                </c:pt>
                <c:pt idx="3">
                  <c:v>logistics</c:v>
                </c:pt>
              </c:strCache>
            </c:strRef>
          </c:cat>
          <c:val>
            <c:numRef>
              <c:f>PIVOT!$B$2:$B$6</c:f>
              <c:numCache>
                <c:formatCode>General</c:formatCode>
                <c:ptCount val="4"/>
                <c:pt idx="0">
                  <c:v>18550</c:v>
                </c:pt>
                <c:pt idx="1">
                  <c:v>21170</c:v>
                </c:pt>
                <c:pt idx="2">
                  <c:v>19600</c:v>
                </c:pt>
                <c:pt idx="3">
                  <c:v>1140</c:v>
                </c:pt>
              </c:numCache>
            </c:numRef>
          </c:val>
          <c:extLst>
            <c:ext xmlns:c16="http://schemas.microsoft.com/office/drawing/2014/chart" uri="{C3380CC4-5D6E-409C-BE32-E72D297353CC}">
              <c16:uniqueId val="{00000008-B88F-2945-917D-716E17775826}"/>
            </c:ext>
          </c:extLst>
        </c:ser>
        <c:dLbls>
          <c:showLegendKey val="0"/>
          <c:showVal val="0"/>
          <c:showCatName val="0"/>
          <c:showSerName val="0"/>
          <c:showPercent val="0"/>
          <c:showBubbleSize val="0"/>
        </c:dLbls>
        <c:gapWidth val="12"/>
        <c:overlap val="-91"/>
        <c:axId val="531535056"/>
        <c:axId val="1274638512"/>
      </c:barChart>
      <c:catAx>
        <c:axId val="531535056"/>
        <c:scaling>
          <c:orientation val="maxMin"/>
        </c:scaling>
        <c:delete val="0"/>
        <c:axPos val="l"/>
        <c:numFmt formatCode="General" sourceLinked="1"/>
        <c:majorTickMark val="none"/>
        <c:minorTickMark val="none"/>
        <c:tickLblPos val="nextTo"/>
        <c:spPr>
          <a:noFill/>
          <a:ln w="6350" cap="flat" cmpd="sng" algn="ctr">
            <a:solidFill>
              <a:schemeClr val="dk1"/>
            </a:solidFill>
            <a:prstDash val="solid"/>
            <a:miter lim="800000"/>
          </a:ln>
          <a:effectLst/>
        </c:spPr>
        <c:txPr>
          <a:bodyPr rot="-60000000" spcFirstLastPara="1" vertOverflow="ellipsis" vert="horz" wrap="square" anchor="ctr" anchorCtr="1"/>
          <a:lstStyle/>
          <a:p>
            <a:pPr>
              <a:defRPr sz="1200" b="1" i="0" u="none" strike="noStrike" kern="1200" baseline="0">
                <a:ln>
                  <a:noFill/>
                </a:ln>
                <a:solidFill>
                  <a:schemeClr val="accent1">
                    <a:lumMod val="50000"/>
                  </a:schemeClr>
                </a:solidFill>
                <a:latin typeface="+mn-lt"/>
                <a:ea typeface="+mn-ea"/>
                <a:cs typeface="+mn-cs"/>
              </a:defRPr>
            </a:pPr>
            <a:endParaRPr lang="en-US"/>
          </a:p>
        </c:txPr>
        <c:crossAx val="1274638512"/>
        <c:crosses val="autoZero"/>
        <c:auto val="0"/>
        <c:lblAlgn val="ctr"/>
        <c:lblOffset val="100"/>
        <c:noMultiLvlLbl val="0"/>
      </c:catAx>
      <c:valAx>
        <c:axId val="1274638512"/>
        <c:scaling>
          <c:orientation val="minMax"/>
        </c:scaling>
        <c:delete val="1"/>
        <c:axPos val="t"/>
        <c:numFmt formatCode="General" sourceLinked="1"/>
        <c:majorTickMark val="none"/>
        <c:minorTickMark val="none"/>
        <c:tickLblPos val="nextTo"/>
        <c:crossAx val="531535056"/>
        <c:crosses val="autoZero"/>
        <c:crossBetween val="between"/>
      </c:valAx>
      <c:spPr>
        <a:solidFill>
          <a:srgbClr val="FBA90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A900"/>
    </a:solidFill>
    <a:ln w="9525" cap="flat" cmpd="sng" algn="ctr">
      <a:solidFill>
        <a:schemeClr val="tx1">
          <a:lumMod val="15000"/>
          <a:lumOff val="85000"/>
        </a:schemeClr>
      </a:solidFill>
      <a:round/>
    </a:ln>
    <a:effectLst>
      <a:outerShdw blurRad="50800" dist="50800" dir="5400000" algn="ctr" rotWithShape="0">
        <a:srgbClr val="00000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hyperlink" Target="https://drive.google.com/drive/folders/1-7mTzBAmsDb_5FA4gddXtzqAUw1bJsQW" TargetMode="External"/><Relationship Id="rId3" Type="http://schemas.openxmlformats.org/officeDocument/2006/relationships/hyperlink" Target="#'Data Entry'!A1"/><Relationship Id="rId7" Type="http://schemas.openxmlformats.org/officeDocument/2006/relationships/chart" Target="../charts/chart1.xml"/><Relationship Id="rId12" Type="http://schemas.openxmlformats.org/officeDocument/2006/relationships/image" Target="../media/image8.png"/><Relationship Id="rId17" Type="http://schemas.openxmlformats.org/officeDocument/2006/relationships/image" Target="../media/image12.png"/><Relationship Id="rId2" Type="http://schemas.openxmlformats.org/officeDocument/2006/relationships/image" Target="../media/image1.png"/><Relationship Id="rId16" Type="http://schemas.openxmlformats.org/officeDocument/2006/relationships/hyperlink" Target="#'Wing members'!A1"/><Relationship Id="rId1" Type="http://schemas.openxmlformats.org/officeDocument/2006/relationships/hyperlink" Target="#Data!A1"/><Relationship Id="rId6" Type="http://schemas.openxmlformats.org/officeDocument/2006/relationships/image" Target="../media/image3.png"/><Relationship Id="rId11" Type="http://schemas.openxmlformats.org/officeDocument/2006/relationships/image" Target="../media/image7.svg"/><Relationship Id="rId5" Type="http://schemas.openxmlformats.org/officeDocument/2006/relationships/hyperlink" Target="#Dashboard!A1"/><Relationship Id="rId15" Type="http://schemas.openxmlformats.org/officeDocument/2006/relationships/image" Target="../media/image11.png"/><Relationship Id="rId10" Type="http://schemas.openxmlformats.org/officeDocument/2006/relationships/image" Target="../media/image6.png"/><Relationship Id="rId19" Type="http://schemas.openxmlformats.org/officeDocument/2006/relationships/image" Target="../media/image13.png"/><Relationship Id="rId4" Type="http://schemas.openxmlformats.org/officeDocument/2006/relationships/image" Target="../media/image2.png"/><Relationship Id="rId9" Type="http://schemas.openxmlformats.org/officeDocument/2006/relationships/image" Target="../media/image5.sv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Data Entry'!A1"/><Relationship Id="rId2" Type="http://schemas.openxmlformats.org/officeDocument/2006/relationships/image" Target="../media/image1.png"/><Relationship Id="rId1" Type="http://schemas.openxmlformats.org/officeDocument/2006/relationships/hyperlink" Target="#Data!A1"/><Relationship Id="rId6" Type="http://schemas.openxmlformats.org/officeDocument/2006/relationships/image" Target="../media/image3.png"/><Relationship Id="rId5" Type="http://schemas.openxmlformats.org/officeDocument/2006/relationships/hyperlink" Target="#Dashboard!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Data Entry'!A1"/><Relationship Id="rId2" Type="http://schemas.openxmlformats.org/officeDocument/2006/relationships/image" Target="../media/image1.png"/><Relationship Id="rId1" Type="http://schemas.openxmlformats.org/officeDocument/2006/relationships/hyperlink" Target="#Data!A1"/><Relationship Id="rId6" Type="http://schemas.openxmlformats.org/officeDocument/2006/relationships/image" Target="../media/image3.png"/><Relationship Id="rId5" Type="http://schemas.openxmlformats.org/officeDocument/2006/relationships/hyperlink" Target="#Dashboard!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Data Entry'!A1"/><Relationship Id="rId2" Type="http://schemas.openxmlformats.org/officeDocument/2006/relationships/image" Target="../media/image1.png"/><Relationship Id="rId1" Type="http://schemas.openxmlformats.org/officeDocument/2006/relationships/hyperlink" Target="#Data!A1"/><Relationship Id="rId6" Type="http://schemas.openxmlformats.org/officeDocument/2006/relationships/image" Target="../media/image3.png"/><Relationship Id="rId5" Type="http://schemas.openxmlformats.org/officeDocument/2006/relationships/hyperlink" Target="#Dashboard!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38100</xdr:rowOff>
    </xdr:from>
    <xdr:to>
      <xdr:col>1</xdr:col>
      <xdr:colOff>685694</xdr:colOff>
      <xdr:row>34</xdr:row>
      <xdr:rowOff>113233</xdr:rowOff>
    </xdr:to>
    <xdr:sp macro="" textlink="">
      <xdr:nvSpPr>
        <xdr:cNvPr id="5" name="Rounded Rectangle 4">
          <a:extLst>
            <a:ext uri="{FF2B5EF4-FFF2-40B4-BE49-F238E27FC236}">
              <a16:creationId xmlns:a16="http://schemas.microsoft.com/office/drawing/2014/main" id="{F6ACFB7B-7951-8940-AFB0-AD7F8FCF27BC}"/>
            </a:ext>
          </a:extLst>
        </xdr:cNvPr>
        <xdr:cNvSpPr/>
      </xdr:nvSpPr>
      <xdr:spPr>
        <a:xfrm>
          <a:off x="190500" y="444500"/>
          <a:ext cx="1320694" cy="6577533"/>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444500</xdr:colOff>
      <xdr:row>12</xdr:row>
      <xdr:rowOff>76200</xdr:rowOff>
    </xdr:from>
    <xdr:to>
      <xdr:col>1</xdr:col>
      <xdr:colOff>431800</xdr:colOff>
      <xdr:row>16</xdr:row>
      <xdr:rowOff>76200</xdr:rowOff>
    </xdr:to>
    <xdr:pic>
      <xdr:nvPicPr>
        <xdr:cNvPr id="6" name="Picture 5">
          <a:hlinkClick xmlns:r="http://schemas.openxmlformats.org/officeDocument/2006/relationships" r:id="rId1"/>
          <a:extLst>
            <a:ext uri="{FF2B5EF4-FFF2-40B4-BE49-F238E27FC236}">
              <a16:creationId xmlns:a16="http://schemas.microsoft.com/office/drawing/2014/main" id="{49A4EBA8-5399-0F47-BA4C-EE14997B9C6A}"/>
            </a:ext>
          </a:extLst>
        </xdr:cNvPr>
        <xdr:cNvPicPr>
          <a:picLocks noChangeAspect="1"/>
        </xdr:cNvPicPr>
      </xdr:nvPicPr>
      <xdr:blipFill>
        <a:blip xmlns:r="http://schemas.openxmlformats.org/officeDocument/2006/relationships" r:embed="rId2"/>
        <a:stretch>
          <a:fillRect/>
        </a:stretch>
      </xdr:blipFill>
      <xdr:spPr>
        <a:xfrm>
          <a:off x="444500" y="2108200"/>
          <a:ext cx="812800" cy="812800"/>
        </a:xfrm>
        <a:prstGeom prst="rect">
          <a:avLst/>
        </a:prstGeom>
      </xdr:spPr>
    </xdr:pic>
    <xdr:clientData/>
  </xdr:twoCellAnchor>
  <xdr:twoCellAnchor editAs="oneCell">
    <xdr:from>
      <xdr:col>0</xdr:col>
      <xdr:colOff>412910</xdr:colOff>
      <xdr:row>20</xdr:row>
      <xdr:rowOff>101600</xdr:rowOff>
    </xdr:from>
    <xdr:to>
      <xdr:col>1</xdr:col>
      <xdr:colOff>400210</xdr:colOff>
      <xdr:row>24</xdr:row>
      <xdr:rowOff>101600</xdr:rowOff>
    </xdr:to>
    <xdr:pic>
      <xdr:nvPicPr>
        <xdr:cNvPr id="7" name="Picture 6" descr="Add ">
          <a:hlinkClick xmlns:r="http://schemas.openxmlformats.org/officeDocument/2006/relationships" r:id="rId3"/>
          <a:extLst>
            <a:ext uri="{FF2B5EF4-FFF2-40B4-BE49-F238E27FC236}">
              <a16:creationId xmlns:a16="http://schemas.microsoft.com/office/drawing/2014/main" id="{9D9C4847-6489-5642-B946-9050DB85928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2910" y="3759200"/>
          <a:ext cx="812800" cy="81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336710</xdr:colOff>
      <xdr:row>25</xdr:row>
      <xdr:rowOff>76200</xdr:rowOff>
    </xdr:from>
    <xdr:to>
      <xdr:col>1</xdr:col>
      <xdr:colOff>476410</xdr:colOff>
      <xdr:row>27</xdr:row>
      <xdr:rowOff>139700</xdr:rowOff>
    </xdr:to>
    <xdr:sp macro="" textlink="">
      <xdr:nvSpPr>
        <xdr:cNvPr id="8" name="TextBox 7">
          <a:extLst>
            <a:ext uri="{FF2B5EF4-FFF2-40B4-BE49-F238E27FC236}">
              <a16:creationId xmlns:a16="http://schemas.microsoft.com/office/drawing/2014/main" id="{8D969245-03E9-0E40-A598-590E7A57B7E2}"/>
            </a:ext>
          </a:extLst>
        </xdr:cNvPr>
        <xdr:cNvSpPr txBox="1"/>
      </xdr:nvSpPr>
      <xdr:spPr>
        <a:xfrm>
          <a:off x="336710" y="47498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Enter new</a:t>
          </a:r>
          <a:r>
            <a:rPr lang="en-US" sz="1200" b="1" baseline="0">
              <a:solidFill>
                <a:schemeClr val="bg1"/>
              </a:solidFill>
              <a:latin typeface="Britannic Bold" panose="020B0903060703020204" pitchFamily="34" charset="77"/>
            </a:rPr>
            <a:t> data</a:t>
          </a:r>
          <a:endParaRPr lang="en-US" sz="1200" b="1">
            <a:solidFill>
              <a:schemeClr val="bg1"/>
            </a:solidFill>
            <a:latin typeface="Britannic Bold" panose="020B0903060703020204" pitchFamily="34" charset="77"/>
          </a:endParaRPr>
        </a:p>
      </xdr:txBody>
    </xdr:sp>
    <xdr:clientData/>
  </xdr:twoCellAnchor>
  <xdr:twoCellAnchor>
    <xdr:from>
      <xdr:col>0</xdr:col>
      <xdr:colOff>349410</xdr:colOff>
      <xdr:row>17</xdr:row>
      <xdr:rowOff>101600</xdr:rowOff>
    </xdr:from>
    <xdr:to>
      <xdr:col>1</xdr:col>
      <xdr:colOff>489110</xdr:colOff>
      <xdr:row>19</xdr:row>
      <xdr:rowOff>165100</xdr:rowOff>
    </xdr:to>
    <xdr:sp macro="" textlink="">
      <xdr:nvSpPr>
        <xdr:cNvPr id="9" name="TextBox 8">
          <a:extLst>
            <a:ext uri="{FF2B5EF4-FFF2-40B4-BE49-F238E27FC236}">
              <a16:creationId xmlns:a16="http://schemas.microsoft.com/office/drawing/2014/main" id="{CDCBCAB4-7378-834B-986A-A4B1F101BC1E}"/>
            </a:ext>
          </a:extLst>
        </xdr:cNvPr>
        <xdr:cNvSpPr txBox="1"/>
      </xdr:nvSpPr>
      <xdr:spPr>
        <a:xfrm>
          <a:off x="349410" y="31496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Go to database</a:t>
          </a:r>
        </a:p>
      </xdr:txBody>
    </xdr:sp>
    <xdr:clientData/>
  </xdr:twoCellAnchor>
  <xdr:twoCellAnchor editAs="oneCell">
    <xdr:from>
      <xdr:col>0</xdr:col>
      <xdr:colOff>469900</xdr:colOff>
      <xdr:row>4</xdr:row>
      <xdr:rowOff>50800</xdr:rowOff>
    </xdr:from>
    <xdr:to>
      <xdr:col>1</xdr:col>
      <xdr:colOff>457200</xdr:colOff>
      <xdr:row>8</xdr:row>
      <xdr:rowOff>50800</xdr:rowOff>
    </xdr:to>
    <xdr:pic>
      <xdr:nvPicPr>
        <xdr:cNvPr id="10" name="Picture 9">
          <a:hlinkClick xmlns:r="http://schemas.openxmlformats.org/officeDocument/2006/relationships" r:id="rId5"/>
          <a:extLst>
            <a:ext uri="{FF2B5EF4-FFF2-40B4-BE49-F238E27FC236}">
              <a16:creationId xmlns:a16="http://schemas.microsoft.com/office/drawing/2014/main" id="{7CBC2E57-117D-4A47-935A-2AF2A0AEF81F}"/>
            </a:ext>
          </a:extLst>
        </xdr:cNvPr>
        <xdr:cNvPicPr>
          <a:picLocks noChangeAspect="1"/>
        </xdr:cNvPicPr>
      </xdr:nvPicPr>
      <xdr:blipFill>
        <a:blip xmlns:r="http://schemas.openxmlformats.org/officeDocument/2006/relationships" r:embed="rId6"/>
        <a:stretch>
          <a:fillRect/>
        </a:stretch>
      </xdr:blipFill>
      <xdr:spPr>
        <a:xfrm>
          <a:off x="469900" y="863600"/>
          <a:ext cx="812800" cy="812800"/>
        </a:xfrm>
        <a:prstGeom prst="rect">
          <a:avLst/>
        </a:prstGeom>
      </xdr:spPr>
    </xdr:pic>
    <xdr:clientData/>
  </xdr:twoCellAnchor>
  <xdr:twoCellAnchor>
    <xdr:from>
      <xdr:col>0</xdr:col>
      <xdr:colOff>387510</xdr:colOff>
      <xdr:row>9</xdr:row>
      <xdr:rowOff>25400</xdr:rowOff>
    </xdr:from>
    <xdr:to>
      <xdr:col>1</xdr:col>
      <xdr:colOff>527210</xdr:colOff>
      <xdr:row>11</xdr:row>
      <xdr:rowOff>88900</xdr:rowOff>
    </xdr:to>
    <xdr:sp macro="" textlink="">
      <xdr:nvSpPr>
        <xdr:cNvPr id="11" name="TextBox 10">
          <a:extLst>
            <a:ext uri="{FF2B5EF4-FFF2-40B4-BE49-F238E27FC236}">
              <a16:creationId xmlns:a16="http://schemas.microsoft.com/office/drawing/2014/main" id="{2120ED9C-70CC-9B4E-8C14-141561527A41}"/>
            </a:ext>
          </a:extLst>
        </xdr:cNvPr>
        <xdr:cNvSpPr txBox="1"/>
      </xdr:nvSpPr>
      <xdr:spPr>
        <a:xfrm>
          <a:off x="387510" y="18542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Show dashboard</a:t>
          </a:r>
        </a:p>
      </xdr:txBody>
    </xdr:sp>
    <xdr:clientData/>
  </xdr:twoCellAnchor>
  <xdr:twoCellAnchor>
    <xdr:from>
      <xdr:col>2</xdr:col>
      <xdr:colOff>749300</xdr:colOff>
      <xdr:row>2</xdr:row>
      <xdr:rowOff>127000</xdr:rowOff>
    </xdr:from>
    <xdr:to>
      <xdr:col>20</xdr:col>
      <xdr:colOff>444500</xdr:colOff>
      <xdr:row>34</xdr:row>
      <xdr:rowOff>38100</xdr:rowOff>
    </xdr:to>
    <xdr:sp macro="" textlink="">
      <xdr:nvSpPr>
        <xdr:cNvPr id="12" name="Rectangle 11">
          <a:extLst>
            <a:ext uri="{FF2B5EF4-FFF2-40B4-BE49-F238E27FC236}">
              <a16:creationId xmlns:a16="http://schemas.microsoft.com/office/drawing/2014/main" id="{BF2B91A8-1854-7548-431A-4E476F04322D}"/>
            </a:ext>
          </a:extLst>
        </xdr:cNvPr>
        <xdr:cNvSpPr/>
      </xdr:nvSpPr>
      <xdr:spPr>
        <a:xfrm>
          <a:off x="2401830" y="524831"/>
          <a:ext cx="14567971" cy="6276402"/>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636216</xdr:colOff>
      <xdr:row>15</xdr:row>
      <xdr:rowOff>67783</xdr:rowOff>
    </xdr:from>
    <xdr:to>
      <xdr:col>9</xdr:col>
      <xdr:colOff>687016</xdr:colOff>
      <xdr:row>32</xdr:row>
      <xdr:rowOff>97366</xdr:rowOff>
    </xdr:to>
    <xdr:graphicFrame macro="">
      <xdr:nvGraphicFramePr>
        <xdr:cNvPr id="16" name="Chart 15">
          <a:extLst>
            <a:ext uri="{FF2B5EF4-FFF2-40B4-BE49-F238E27FC236}">
              <a16:creationId xmlns:a16="http://schemas.microsoft.com/office/drawing/2014/main" id="{6C260284-2519-E947-A56C-BCFC87D96F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685848</xdr:colOff>
      <xdr:row>4</xdr:row>
      <xdr:rowOff>26795</xdr:rowOff>
    </xdr:from>
    <xdr:to>
      <xdr:col>8</xdr:col>
      <xdr:colOff>516374</xdr:colOff>
      <xdr:row>6</xdr:row>
      <xdr:rowOff>185336</xdr:rowOff>
    </xdr:to>
    <xdr:sp macro="" textlink="">
      <xdr:nvSpPr>
        <xdr:cNvPr id="17" name="TextBox 16">
          <a:extLst>
            <a:ext uri="{FF2B5EF4-FFF2-40B4-BE49-F238E27FC236}">
              <a16:creationId xmlns:a16="http://schemas.microsoft.com/office/drawing/2014/main" id="{BDA4E537-57CE-D71E-F4FC-6516D46BC3AE}"/>
            </a:ext>
          </a:extLst>
        </xdr:cNvPr>
        <xdr:cNvSpPr txBox="1"/>
      </xdr:nvSpPr>
      <xdr:spPr>
        <a:xfrm>
          <a:off x="3156068" y="864158"/>
          <a:ext cx="3947559" cy="577222"/>
        </a:xfrm>
        <a:prstGeom prst="rect">
          <a:avLst/>
        </a:prstGeom>
        <a:solidFill>
          <a:schemeClr val="bg1"/>
        </a:solidFill>
        <a:ln w="9525" cmpd="sng">
          <a:solidFill>
            <a:schemeClr val="lt1">
              <a:shade val="50000"/>
            </a:schemeClr>
          </a:solidFill>
        </a:ln>
        <a:effectLst>
          <a:glow>
            <a:schemeClr val="accent1">
              <a:alpha val="40000"/>
            </a:schemeClr>
          </a:glow>
          <a:outerShdw blurRad="50800" dist="50800" dir="5400000" sx="103000" sy="103000" algn="ctr" rotWithShape="0">
            <a:srgbClr val="000000">
              <a:alpha val="44000"/>
            </a:srgbClr>
          </a:outerShdw>
          <a:reflection stA="20000" endPos="44572"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rgbClr val="002060"/>
              </a:solidFill>
            </a:rPr>
            <a:t>Total Donation : </a:t>
          </a:r>
        </a:p>
      </xdr:txBody>
    </xdr:sp>
    <xdr:clientData/>
  </xdr:twoCellAnchor>
  <xdr:twoCellAnchor>
    <xdr:from>
      <xdr:col>3</xdr:col>
      <xdr:colOff>623365</xdr:colOff>
      <xdr:row>11</xdr:row>
      <xdr:rowOff>102055</xdr:rowOff>
    </xdr:from>
    <xdr:to>
      <xdr:col>9</xdr:col>
      <xdr:colOff>714079</xdr:colOff>
      <xdr:row>14</xdr:row>
      <xdr:rowOff>1</xdr:rowOff>
    </xdr:to>
    <xdr:sp macro="" textlink="">
      <xdr:nvSpPr>
        <xdr:cNvPr id="19" name="Rounded Rectangle 18">
          <a:extLst>
            <a:ext uri="{FF2B5EF4-FFF2-40B4-BE49-F238E27FC236}">
              <a16:creationId xmlns:a16="http://schemas.microsoft.com/office/drawing/2014/main" id="{013D55C1-635C-D2B5-C9EC-7D8A90BE58C8}"/>
            </a:ext>
          </a:extLst>
        </xdr:cNvPr>
        <xdr:cNvSpPr/>
      </xdr:nvSpPr>
      <xdr:spPr>
        <a:xfrm>
          <a:off x="3102160" y="2290127"/>
          <a:ext cx="5048305" cy="494693"/>
        </a:xfrm>
        <a:prstGeom prst="roundRect">
          <a:avLst>
            <a:gd name="adj" fmla="val 50000"/>
          </a:avLst>
        </a:prstGeom>
        <a:solidFill>
          <a:srgbClr val="FBA9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2800" b="1">
              <a:solidFill>
                <a:schemeClr val="bg1"/>
              </a:solidFill>
            </a:rPr>
            <a:t>Wing</a:t>
          </a:r>
          <a:r>
            <a:rPr lang="en-US" sz="2800" b="1" baseline="0">
              <a:solidFill>
                <a:schemeClr val="bg1"/>
              </a:solidFill>
            </a:rPr>
            <a:t> wise Expense</a:t>
          </a:r>
          <a:endParaRPr lang="en-US" sz="2800" b="1">
            <a:solidFill>
              <a:schemeClr val="bg1"/>
            </a:solidFill>
          </a:endParaRPr>
        </a:p>
      </xdr:txBody>
    </xdr:sp>
    <xdr:clientData/>
  </xdr:twoCellAnchor>
  <xdr:twoCellAnchor>
    <xdr:from>
      <xdr:col>6</xdr:col>
      <xdr:colOff>446596</xdr:colOff>
      <xdr:row>3</xdr:row>
      <xdr:rowOff>177257</xdr:rowOff>
    </xdr:from>
    <xdr:to>
      <xdr:col>8</xdr:col>
      <xdr:colOff>781539</xdr:colOff>
      <xdr:row>6</xdr:row>
      <xdr:rowOff>177257</xdr:rowOff>
    </xdr:to>
    <xdr:sp macro="" textlink="PIVOT!B18">
      <xdr:nvSpPr>
        <xdr:cNvPr id="20" name="TextBox 19">
          <a:extLst>
            <a:ext uri="{FF2B5EF4-FFF2-40B4-BE49-F238E27FC236}">
              <a16:creationId xmlns:a16="http://schemas.microsoft.com/office/drawing/2014/main" id="{8D1EBF73-1A15-8904-2B08-B52C0F15F76C}"/>
            </a:ext>
          </a:extLst>
        </xdr:cNvPr>
        <xdr:cNvSpPr txBox="1"/>
      </xdr:nvSpPr>
      <xdr:spPr>
        <a:xfrm>
          <a:off x="5373320" y="801309"/>
          <a:ext cx="1977185" cy="624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A0767-7468-A34B-8A3C-28D58FEC9C27}" type="TxLink">
            <a:rPr lang="en-US" sz="3600" b="1" i="0" u="none" strike="noStrike">
              <a:solidFill>
                <a:srgbClr val="FBA900"/>
              </a:solidFill>
              <a:latin typeface="Calibri"/>
              <a:cs typeface="Calibri"/>
            </a:rPr>
            <a:pPr/>
            <a:t> 62,890 </a:t>
          </a:fld>
          <a:endParaRPr lang="en-US" sz="3200" b="1">
            <a:solidFill>
              <a:srgbClr val="FBA900"/>
            </a:solidFill>
          </a:endParaRPr>
        </a:p>
      </xdr:txBody>
    </xdr:sp>
    <xdr:clientData/>
  </xdr:twoCellAnchor>
  <xdr:twoCellAnchor>
    <xdr:from>
      <xdr:col>9</xdr:col>
      <xdr:colOff>127604</xdr:colOff>
      <xdr:row>4</xdr:row>
      <xdr:rowOff>12840</xdr:rowOff>
    </xdr:from>
    <xdr:to>
      <xdr:col>13</xdr:col>
      <xdr:colOff>781536</xdr:colOff>
      <xdr:row>6</xdr:row>
      <xdr:rowOff>171381</xdr:rowOff>
    </xdr:to>
    <xdr:sp macro="" textlink="">
      <xdr:nvSpPr>
        <xdr:cNvPr id="21" name="TextBox 20">
          <a:extLst>
            <a:ext uri="{FF2B5EF4-FFF2-40B4-BE49-F238E27FC236}">
              <a16:creationId xmlns:a16="http://schemas.microsoft.com/office/drawing/2014/main" id="{1BA05064-8524-9CCE-4456-2CBF84A2BBDE}"/>
            </a:ext>
          </a:extLst>
        </xdr:cNvPr>
        <xdr:cNvSpPr txBox="1"/>
      </xdr:nvSpPr>
      <xdr:spPr>
        <a:xfrm>
          <a:off x="7538263" y="850203"/>
          <a:ext cx="3947559" cy="577222"/>
        </a:xfrm>
        <a:prstGeom prst="rect">
          <a:avLst/>
        </a:prstGeom>
        <a:solidFill>
          <a:schemeClr val="bg1"/>
        </a:solidFill>
        <a:ln w="9525" cmpd="sng">
          <a:solidFill>
            <a:schemeClr val="lt1">
              <a:shade val="50000"/>
            </a:schemeClr>
          </a:solidFill>
        </a:ln>
        <a:effectLst>
          <a:outerShdw dist="50800" dir="5400000" sx="1000" sy="1000" algn="ctr" rotWithShape="0">
            <a:schemeClr val="bg1"/>
          </a:outerShdw>
          <a:reflection stA="20000" endPos="36843" dist="508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rgbClr val="002060"/>
              </a:solidFill>
            </a:rPr>
            <a:t>Total Expense : </a:t>
          </a:r>
        </a:p>
      </xdr:txBody>
    </xdr:sp>
    <xdr:clientData/>
  </xdr:twoCellAnchor>
  <xdr:twoCellAnchor>
    <xdr:from>
      <xdr:col>11</xdr:col>
      <xdr:colOff>697802</xdr:colOff>
      <xdr:row>3</xdr:row>
      <xdr:rowOff>165148</xdr:rowOff>
    </xdr:from>
    <xdr:to>
      <xdr:col>14</xdr:col>
      <xdr:colOff>125605</xdr:colOff>
      <xdr:row>6</xdr:row>
      <xdr:rowOff>165148</xdr:rowOff>
    </xdr:to>
    <xdr:sp macro="" textlink="PIVOT!B19">
      <xdr:nvSpPr>
        <xdr:cNvPr id="22" name="TextBox 21">
          <a:extLst>
            <a:ext uri="{FF2B5EF4-FFF2-40B4-BE49-F238E27FC236}">
              <a16:creationId xmlns:a16="http://schemas.microsoft.com/office/drawing/2014/main" id="{06AD25D1-ABC8-E9AA-CBE8-63FCDC776099}"/>
            </a:ext>
          </a:extLst>
        </xdr:cNvPr>
        <xdr:cNvSpPr txBox="1"/>
      </xdr:nvSpPr>
      <xdr:spPr>
        <a:xfrm>
          <a:off x="9844826" y="754791"/>
          <a:ext cx="1922446" cy="589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8308C2-5437-2746-8741-428009B65110}" type="TxLink">
            <a:rPr lang="en-US" sz="3600" b="1" i="0" u="none" strike="noStrike">
              <a:solidFill>
                <a:srgbClr val="FFC000"/>
              </a:solidFill>
              <a:latin typeface="Calibri"/>
              <a:cs typeface="Calibri"/>
            </a:rPr>
            <a:pPr/>
            <a:t> 60,460 </a:t>
          </a:fld>
          <a:endParaRPr lang="en-US" sz="3600" b="1">
            <a:solidFill>
              <a:srgbClr val="FFC000"/>
            </a:solidFill>
          </a:endParaRPr>
        </a:p>
      </xdr:txBody>
    </xdr:sp>
    <xdr:clientData/>
  </xdr:twoCellAnchor>
  <xdr:twoCellAnchor>
    <xdr:from>
      <xdr:col>14</xdr:col>
      <xdr:colOff>630023</xdr:colOff>
      <xdr:row>3</xdr:row>
      <xdr:rowOff>208224</xdr:rowOff>
    </xdr:from>
    <xdr:to>
      <xdr:col>19</xdr:col>
      <xdr:colOff>460549</xdr:colOff>
      <xdr:row>6</xdr:row>
      <xdr:rowOff>157424</xdr:rowOff>
    </xdr:to>
    <xdr:sp macro="" textlink="">
      <xdr:nvSpPr>
        <xdr:cNvPr id="26" name="TextBox 25">
          <a:extLst>
            <a:ext uri="{FF2B5EF4-FFF2-40B4-BE49-F238E27FC236}">
              <a16:creationId xmlns:a16="http://schemas.microsoft.com/office/drawing/2014/main" id="{D9E6E27B-EA2D-1D10-EA60-ECB3A3ABDCEB}"/>
            </a:ext>
          </a:extLst>
        </xdr:cNvPr>
        <xdr:cNvSpPr txBox="1"/>
      </xdr:nvSpPr>
      <xdr:spPr>
        <a:xfrm>
          <a:off x="12157715" y="836246"/>
          <a:ext cx="3947559" cy="577222"/>
        </a:xfrm>
        <a:prstGeom prst="rect">
          <a:avLst/>
        </a:prstGeom>
        <a:solidFill>
          <a:schemeClr val="bg1"/>
        </a:solidFill>
        <a:ln w="9525" cmpd="sng">
          <a:solidFill>
            <a:schemeClr val="lt1">
              <a:shade val="50000"/>
            </a:schemeClr>
          </a:solidFill>
        </a:ln>
        <a:effectLst>
          <a:outerShdw dist="2540000" dir="21540000" sx="1000" sy="1000" algn="ctr" rotWithShape="0">
            <a:srgbClr val="000000">
              <a:alpha val="0"/>
            </a:srgbClr>
          </a:outerShdw>
          <a:reflection stA="20000" endPos="42000" dist="508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rgbClr val="002060"/>
              </a:solidFill>
            </a:rPr>
            <a:t>  Remaining</a:t>
          </a:r>
          <a:r>
            <a:rPr lang="en-US" sz="2400" b="1" baseline="0">
              <a:solidFill>
                <a:srgbClr val="002060"/>
              </a:solidFill>
            </a:rPr>
            <a:t> </a:t>
          </a:r>
          <a:r>
            <a:rPr lang="en-US" sz="2400" b="1">
              <a:solidFill>
                <a:srgbClr val="002060"/>
              </a:solidFill>
            </a:rPr>
            <a:t>: </a:t>
          </a:r>
        </a:p>
      </xdr:txBody>
    </xdr:sp>
    <xdr:clientData/>
  </xdr:twoCellAnchor>
  <xdr:twoCellAnchor>
    <xdr:from>
      <xdr:col>17</xdr:col>
      <xdr:colOff>155890</xdr:colOff>
      <xdr:row>3</xdr:row>
      <xdr:rowOff>152353</xdr:rowOff>
    </xdr:from>
    <xdr:to>
      <xdr:col>19</xdr:col>
      <xdr:colOff>309406</xdr:colOff>
      <xdr:row>6</xdr:row>
      <xdr:rowOff>152353</xdr:rowOff>
    </xdr:to>
    <xdr:sp macro="" textlink="PIVOT!B20">
      <xdr:nvSpPr>
        <xdr:cNvPr id="27" name="TextBox 26">
          <a:extLst>
            <a:ext uri="{FF2B5EF4-FFF2-40B4-BE49-F238E27FC236}">
              <a16:creationId xmlns:a16="http://schemas.microsoft.com/office/drawing/2014/main" id="{40DE54C5-A52B-C9A8-A130-0E69A28697B3}"/>
            </a:ext>
          </a:extLst>
        </xdr:cNvPr>
        <xdr:cNvSpPr txBox="1"/>
      </xdr:nvSpPr>
      <xdr:spPr>
        <a:xfrm>
          <a:off x="14189390" y="355553"/>
          <a:ext cx="1804516"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EED23A-3067-CC4B-BF1C-AF491DEE4310}" type="TxLink">
            <a:rPr lang="en-US" sz="3600" b="1" i="0" u="none" strike="noStrike">
              <a:solidFill>
                <a:srgbClr val="F14829"/>
              </a:solidFill>
              <a:latin typeface="Calibri"/>
              <a:cs typeface="Calibri"/>
            </a:rPr>
            <a:pPr/>
            <a:t> 2,430 </a:t>
          </a:fld>
          <a:endParaRPr lang="en-US" sz="3600" b="1">
            <a:solidFill>
              <a:srgbClr val="F14829"/>
            </a:solidFill>
          </a:endParaRPr>
        </a:p>
      </xdr:txBody>
    </xdr:sp>
    <xdr:clientData/>
  </xdr:twoCellAnchor>
  <xdr:twoCellAnchor>
    <xdr:from>
      <xdr:col>10</xdr:col>
      <xdr:colOff>340360</xdr:colOff>
      <xdr:row>15</xdr:row>
      <xdr:rowOff>101600</xdr:rowOff>
    </xdr:from>
    <xdr:to>
      <xdr:col>13</xdr:col>
      <xdr:colOff>412750</xdr:colOff>
      <xdr:row>32</xdr:row>
      <xdr:rowOff>130025</xdr:rowOff>
    </xdr:to>
    <mc:AlternateContent xmlns:mc="http://schemas.openxmlformats.org/markup-compatibility/2006" xmlns:a14="http://schemas.microsoft.com/office/drawing/2010/main">
      <mc:Choice Requires="a14">
        <xdr:graphicFrame macro="">
          <xdr:nvGraphicFramePr>
            <xdr:cNvPr id="28" name="Wing">
              <a:extLst>
                <a:ext uri="{FF2B5EF4-FFF2-40B4-BE49-F238E27FC236}">
                  <a16:creationId xmlns:a16="http://schemas.microsoft.com/office/drawing/2014/main" id="{94690AA4-A129-A24A-8E1D-036B87876E46}"/>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Wing"/>
            </a:graphicData>
          </a:graphic>
        </xdr:graphicFrame>
      </mc:Choice>
      <mc:Fallback xmlns="">
        <xdr:sp macro="" textlink="">
          <xdr:nvSpPr>
            <xdr:cNvPr id="0" name=""/>
            <xdr:cNvSpPr>
              <a:spLocks noTextEdit="1"/>
            </xdr:cNvSpPr>
          </xdr:nvSpPr>
          <xdr:spPr>
            <a:xfrm>
              <a:off x="8595360" y="2743200"/>
              <a:ext cx="2548890" cy="3482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400359</xdr:colOff>
      <xdr:row>11</xdr:row>
      <xdr:rowOff>102053</xdr:rowOff>
    </xdr:from>
    <xdr:to>
      <xdr:col>13</xdr:col>
      <xdr:colOff>385240</xdr:colOff>
      <xdr:row>13</xdr:row>
      <xdr:rowOff>196547</xdr:rowOff>
    </xdr:to>
    <xdr:sp macro="" textlink="">
      <xdr:nvSpPr>
        <xdr:cNvPr id="33" name="Rounded Rectangle 32">
          <a:extLst>
            <a:ext uri="{FF2B5EF4-FFF2-40B4-BE49-F238E27FC236}">
              <a16:creationId xmlns:a16="http://schemas.microsoft.com/office/drawing/2014/main" id="{D51073D3-D0C2-1438-6C0C-F6494A6440AA}"/>
            </a:ext>
          </a:extLst>
        </xdr:cNvPr>
        <xdr:cNvSpPr/>
      </xdr:nvSpPr>
      <xdr:spPr>
        <a:xfrm>
          <a:off x="8663010" y="2290125"/>
          <a:ext cx="2463676" cy="492326"/>
        </a:xfrm>
        <a:prstGeom prst="roundRect">
          <a:avLst>
            <a:gd name="adj" fmla="val 50000"/>
          </a:avLst>
        </a:prstGeom>
        <a:solidFill>
          <a:srgbClr val="FBA9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2800" b="1">
              <a:solidFill>
                <a:schemeClr val="bg1"/>
              </a:solidFill>
            </a:rPr>
            <a:t>Choose wing</a:t>
          </a:r>
        </a:p>
      </xdr:txBody>
    </xdr:sp>
    <xdr:clientData/>
  </xdr:twoCellAnchor>
  <xdr:twoCellAnchor editAs="oneCell">
    <xdr:from>
      <xdr:col>11</xdr:col>
      <xdr:colOff>511325</xdr:colOff>
      <xdr:row>4</xdr:row>
      <xdr:rowOff>177482</xdr:rowOff>
    </xdr:from>
    <xdr:to>
      <xdr:col>11</xdr:col>
      <xdr:colOff>800100</xdr:colOff>
      <xdr:row>6</xdr:row>
      <xdr:rowOff>51308</xdr:rowOff>
    </xdr:to>
    <xdr:pic>
      <xdr:nvPicPr>
        <xdr:cNvPr id="37" name="Graphic 36" descr="Sad face outline with solid fill">
          <a:extLst>
            <a:ext uri="{FF2B5EF4-FFF2-40B4-BE49-F238E27FC236}">
              <a16:creationId xmlns:a16="http://schemas.microsoft.com/office/drawing/2014/main" id="{197A7A60-477B-402A-7E12-9694EA9DB1A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591825" y="990282"/>
          <a:ext cx="288775" cy="280226"/>
        </a:xfrm>
        <a:prstGeom prst="rect">
          <a:avLst/>
        </a:prstGeom>
      </xdr:spPr>
    </xdr:pic>
    <xdr:clientData/>
  </xdr:twoCellAnchor>
  <xdr:twoCellAnchor editAs="oneCell">
    <xdr:from>
      <xdr:col>6</xdr:col>
      <xdr:colOff>346540</xdr:colOff>
      <xdr:row>4</xdr:row>
      <xdr:rowOff>203199</xdr:rowOff>
    </xdr:from>
    <xdr:to>
      <xdr:col>6</xdr:col>
      <xdr:colOff>597678</xdr:colOff>
      <xdr:row>6</xdr:row>
      <xdr:rowOff>41594</xdr:rowOff>
    </xdr:to>
    <xdr:pic>
      <xdr:nvPicPr>
        <xdr:cNvPr id="39" name="Graphic 38" descr="Grinning face with solid fill with solid fill">
          <a:extLst>
            <a:ext uri="{FF2B5EF4-FFF2-40B4-BE49-F238E27FC236}">
              <a16:creationId xmlns:a16="http://schemas.microsoft.com/office/drawing/2014/main" id="{1778BBF5-3395-1025-F6CE-5697CA25043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299540" y="1015999"/>
          <a:ext cx="251138" cy="244795"/>
        </a:xfrm>
        <a:prstGeom prst="rect">
          <a:avLst/>
        </a:prstGeom>
      </xdr:spPr>
    </xdr:pic>
    <xdr:clientData/>
  </xdr:twoCellAnchor>
  <xdr:twoCellAnchor editAs="oneCell">
    <xdr:from>
      <xdr:col>19</xdr:col>
      <xdr:colOff>107578</xdr:colOff>
      <xdr:row>4</xdr:row>
      <xdr:rowOff>136610</xdr:rowOff>
    </xdr:from>
    <xdr:to>
      <xdr:col>19</xdr:col>
      <xdr:colOff>419099</xdr:colOff>
      <xdr:row>6</xdr:row>
      <xdr:rowOff>41129</xdr:rowOff>
    </xdr:to>
    <xdr:pic>
      <xdr:nvPicPr>
        <xdr:cNvPr id="41" name="Graphic 40" descr="Chevron arrows with solid fill">
          <a:extLst>
            <a:ext uri="{FF2B5EF4-FFF2-40B4-BE49-F238E27FC236}">
              <a16:creationId xmlns:a16="http://schemas.microsoft.com/office/drawing/2014/main" id="{5E8E4CE4-3BFF-D3B8-DAA1-AD8F5876B8A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rot="5400000">
          <a:off x="15792379" y="542709"/>
          <a:ext cx="310919" cy="311521"/>
        </a:xfrm>
        <a:prstGeom prst="rect">
          <a:avLst/>
        </a:prstGeom>
      </xdr:spPr>
    </xdr:pic>
    <xdr:clientData/>
  </xdr:twoCellAnchor>
  <xdr:twoCellAnchor editAs="oneCell">
    <xdr:from>
      <xdr:col>14</xdr:col>
      <xdr:colOff>360242</xdr:colOff>
      <xdr:row>11</xdr:row>
      <xdr:rowOff>60476</xdr:rowOff>
    </xdr:from>
    <xdr:to>
      <xdr:col>20</xdr:col>
      <xdr:colOff>483807</xdr:colOff>
      <xdr:row>33</xdr:row>
      <xdr:rowOff>146077</xdr:rowOff>
    </xdr:to>
    <xdr:pic>
      <xdr:nvPicPr>
        <xdr:cNvPr id="43" name="Picture 42" descr="Budget ">
          <a:extLst>
            <a:ext uri="{FF2B5EF4-FFF2-40B4-BE49-F238E27FC236}">
              <a16:creationId xmlns:a16="http://schemas.microsoft.com/office/drawing/2014/main" id="{CBFF0AE2-F981-6345-466A-1A5D8B2D89F6}"/>
            </a:ext>
          </a:extLst>
        </xdr:cNvPr>
        <xdr:cNvPicPr>
          <a:picLocks noChangeAspect="1" noChangeArrowheads="1"/>
        </xdr:cNvPicPr>
      </xdr:nvPicPr>
      <xdr:blipFill>
        <a:blip xmlns:r="http://schemas.openxmlformats.org/officeDocument/2006/relationships" r:embed="rId14">
          <a:alphaModFix amt="24000"/>
          <a:extLst>
            <a:ext uri="{28A0092B-C50C-407E-A947-70E740481C1C}">
              <a14:useLocalDpi xmlns:a14="http://schemas.microsoft.com/office/drawing/2010/main" val="0"/>
            </a:ext>
          </a:extLst>
        </a:blip>
        <a:srcRect/>
        <a:stretch>
          <a:fillRect/>
        </a:stretch>
      </xdr:blipFill>
      <xdr:spPr bwMode="auto">
        <a:xfrm>
          <a:off x="11931353" y="2277936"/>
          <a:ext cx="5082613" cy="452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242590</xdr:colOff>
      <xdr:row>13</xdr:row>
      <xdr:rowOff>10449</xdr:rowOff>
    </xdr:from>
    <xdr:to>
      <xdr:col>11</xdr:col>
      <xdr:colOff>346327</xdr:colOff>
      <xdr:row>33</xdr:row>
      <xdr:rowOff>198508</xdr:rowOff>
    </xdr:to>
    <xdr:pic>
      <xdr:nvPicPr>
        <xdr:cNvPr id="44" name="Picture 43">
          <a:extLst>
            <a:ext uri="{FF2B5EF4-FFF2-40B4-BE49-F238E27FC236}">
              <a16:creationId xmlns:a16="http://schemas.microsoft.com/office/drawing/2014/main" id="{CA7951C3-9164-3C5D-DF22-122BAA8ED31B}"/>
            </a:ext>
          </a:extLst>
        </xdr:cNvPr>
        <xdr:cNvPicPr>
          <a:picLocks noChangeAspect="1"/>
        </xdr:cNvPicPr>
      </xdr:nvPicPr>
      <xdr:blipFill>
        <a:blip xmlns:r="http://schemas.openxmlformats.org/officeDocument/2006/relationships" r:embed="rId15">
          <a:alphaModFix amt="13000"/>
        </a:blip>
        <a:stretch>
          <a:fillRect/>
        </a:stretch>
      </xdr:blipFill>
      <xdr:spPr>
        <a:xfrm>
          <a:off x="5195590" y="2245649"/>
          <a:ext cx="4231237" cy="4252059"/>
        </a:xfrm>
        <a:prstGeom prst="rect">
          <a:avLst/>
        </a:prstGeom>
      </xdr:spPr>
    </xdr:pic>
    <xdr:clientData/>
  </xdr:twoCellAnchor>
  <xdr:twoCellAnchor>
    <xdr:from>
      <xdr:col>14</xdr:col>
      <xdr:colOff>321143</xdr:colOff>
      <xdr:row>11</xdr:row>
      <xdr:rowOff>117355</xdr:rowOff>
    </xdr:from>
    <xdr:to>
      <xdr:col>16</xdr:col>
      <xdr:colOff>244819</xdr:colOff>
      <xdr:row>14</xdr:row>
      <xdr:rowOff>12934</xdr:rowOff>
    </xdr:to>
    <xdr:sp macro="" textlink="">
      <xdr:nvSpPr>
        <xdr:cNvPr id="2" name="Rounded Rectangle 1">
          <a:extLst>
            <a:ext uri="{FF2B5EF4-FFF2-40B4-BE49-F238E27FC236}">
              <a16:creationId xmlns:a16="http://schemas.microsoft.com/office/drawing/2014/main" id="{DDF60705-CB3D-79F1-6478-68BACBE4E1EF}"/>
            </a:ext>
          </a:extLst>
        </xdr:cNvPr>
        <xdr:cNvSpPr/>
      </xdr:nvSpPr>
      <xdr:spPr>
        <a:xfrm>
          <a:off x="11888854" y="2305427"/>
          <a:ext cx="1576206" cy="492326"/>
        </a:xfrm>
        <a:prstGeom prst="roundRect">
          <a:avLst>
            <a:gd name="adj" fmla="val 50000"/>
          </a:avLst>
        </a:prstGeom>
        <a:solidFill>
          <a:srgbClr val="FBA9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2800" b="1">
              <a:solidFill>
                <a:schemeClr val="bg1"/>
              </a:solidFill>
            </a:rPr>
            <a:t>Wings</a:t>
          </a:r>
        </a:p>
      </xdr:txBody>
    </xdr:sp>
    <xdr:clientData/>
  </xdr:twoCellAnchor>
  <xdr:twoCellAnchor>
    <xdr:from>
      <xdr:col>16</xdr:col>
      <xdr:colOff>718974</xdr:colOff>
      <xdr:row>11</xdr:row>
      <xdr:rowOff>86753</xdr:rowOff>
    </xdr:from>
    <xdr:to>
      <xdr:col>19</xdr:col>
      <xdr:colOff>397831</xdr:colOff>
      <xdr:row>13</xdr:row>
      <xdr:rowOff>181247</xdr:rowOff>
    </xdr:to>
    <xdr:sp macro="" textlink="">
      <xdr:nvSpPr>
        <xdr:cNvPr id="3" name="Rounded Rectangle 2">
          <a:extLst>
            <a:ext uri="{FF2B5EF4-FFF2-40B4-BE49-F238E27FC236}">
              <a16:creationId xmlns:a16="http://schemas.microsoft.com/office/drawing/2014/main" id="{907F779A-D59D-741C-EDB3-82A611D15662}"/>
            </a:ext>
          </a:extLst>
        </xdr:cNvPr>
        <xdr:cNvSpPr/>
      </xdr:nvSpPr>
      <xdr:spPr>
        <a:xfrm>
          <a:off x="13939215" y="2274825"/>
          <a:ext cx="2157652" cy="492326"/>
        </a:xfrm>
        <a:prstGeom prst="roundRect">
          <a:avLst>
            <a:gd name="adj" fmla="val 50000"/>
          </a:avLst>
        </a:prstGeom>
        <a:solidFill>
          <a:srgbClr val="FBA9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2800" b="1">
              <a:solidFill>
                <a:schemeClr val="bg1"/>
              </a:solidFill>
            </a:rPr>
            <a:t>Wing</a:t>
          </a:r>
          <a:r>
            <a:rPr lang="en-US" sz="2800" b="1" baseline="0">
              <a:solidFill>
                <a:schemeClr val="bg1"/>
              </a:solidFill>
            </a:rPr>
            <a:t> Head</a:t>
          </a:r>
          <a:endParaRPr lang="en-US" sz="2800" b="1">
            <a:solidFill>
              <a:schemeClr val="bg1"/>
            </a:solidFill>
          </a:endParaRPr>
        </a:p>
      </xdr:txBody>
    </xdr:sp>
    <xdr:clientData/>
  </xdr:twoCellAnchor>
  <xdr:twoCellAnchor>
    <xdr:from>
      <xdr:col>14</xdr:col>
      <xdr:colOff>428434</xdr:colOff>
      <xdr:row>14</xdr:row>
      <xdr:rowOff>183617</xdr:rowOff>
    </xdr:from>
    <xdr:to>
      <xdr:col>16</xdr:col>
      <xdr:colOff>290723</xdr:colOff>
      <xdr:row>18</xdr:row>
      <xdr:rowOff>15302</xdr:rowOff>
    </xdr:to>
    <xdr:sp macro="" textlink="">
      <xdr:nvSpPr>
        <xdr:cNvPr id="13" name="Right Arrow 12">
          <a:hlinkClick xmlns:r="http://schemas.openxmlformats.org/officeDocument/2006/relationships" r:id="rId16"/>
          <a:extLst>
            <a:ext uri="{FF2B5EF4-FFF2-40B4-BE49-F238E27FC236}">
              <a16:creationId xmlns:a16="http://schemas.microsoft.com/office/drawing/2014/main" id="{A093536E-13FD-8D3C-7B90-342815C907EC}"/>
            </a:ext>
          </a:extLst>
        </xdr:cNvPr>
        <xdr:cNvSpPr/>
      </xdr:nvSpPr>
      <xdr:spPr>
        <a:xfrm>
          <a:off x="11996145" y="2968436"/>
          <a:ext cx="1514819" cy="627348"/>
        </a:xfrm>
        <a:prstGeom prst="rightArrow">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Decoration (Girls)</a:t>
          </a:r>
        </a:p>
      </xdr:txBody>
    </xdr:sp>
    <xdr:clientData/>
  </xdr:twoCellAnchor>
  <xdr:twoCellAnchor>
    <xdr:from>
      <xdr:col>14</xdr:col>
      <xdr:colOff>428434</xdr:colOff>
      <xdr:row>17</xdr:row>
      <xdr:rowOff>168315</xdr:rowOff>
    </xdr:from>
    <xdr:to>
      <xdr:col>16</xdr:col>
      <xdr:colOff>290723</xdr:colOff>
      <xdr:row>21</xdr:row>
      <xdr:rowOff>0</xdr:rowOff>
    </xdr:to>
    <xdr:sp macro="" textlink="">
      <xdr:nvSpPr>
        <xdr:cNvPr id="25" name="Right Arrow 24">
          <a:hlinkClick xmlns:r="http://schemas.openxmlformats.org/officeDocument/2006/relationships" r:id="rId16"/>
          <a:extLst>
            <a:ext uri="{FF2B5EF4-FFF2-40B4-BE49-F238E27FC236}">
              <a16:creationId xmlns:a16="http://schemas.microsoft.com/office/drawing/2014/main" id="{BAC9CF1C-4187-00F3-D22C-4082F1B8EC49}"/>
            </a:ext>
          </a:extLst>
        </xdr:cNvPr>
        <xdr:cNvSpPr/>
      </xdr:nvSpPr>
      <xdr:spPr>
        <a:xfrm>
          <a:off x="11996145" y="3549881"/>
          <a:ext cx="1514819" cy="627348"/>
        </a:xfrm>
        <a:prstGeom prst="rightArrow">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Decoration (Boys)</a:t>
          </a:r>
        </a:p>
      </xdr:txBody>
    </xdr:sp>
    <xdr:clientData/>
  </xdr:twoCellAnchor>
  <xdr:twoCellAnchor>
    <xdr:from>
      <xdr:col>14</xdr:col>
      <xdr:colOff>428434</xdr:colOff>
      <xdr:row>20</xdr:row>
      <xdr:rowOff>168315</xdr:rowOff>
    </xdr:from>
    <xdr:to>
      <xdr:col>16</xdr:col>
      <xdr:colOff>290723</xdr:colOff>
      <xdr:row>24</xdr:row>
      <xdr:rowOff>0</xdr:rowOff>
    </xdr:to>
    <xdr:sp macro="" textlink="">
      <xdr:nvSpPr>
        <xdr:cNvPr id="29" name="Right Arrow 28">
          <a:hlinkClick xmlns:r="http://schemas.openxmlformats.org/officeDocument/2006/relationships" r:id="rId16"/>
          <a:extLst>
            <a:ext uri="{FF2B5EF4-FFF2-40B4-BE49-F238E27FC236}">
              <a16:creationId xmlns:a16="http://schemas.microsoft.com/office/drawing/2014/main" id="{EFD8B0EE-870B-03AA-8392-96923F1572AF}"/>
            </a:ext>
          </a:extLst>
        </xdr:cNvPr>
        <xdr:cNvSpPr/>
      </xdr:nvSpPr>
      <xdr:spPr>
        <a:xfrm>
          <a:off x="11996145" y="4146628"/>
          <a:ext cx="1514819" cy="627348"/>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Logistics</a:t>
          </a:r>
        </a:p>
      </xdr:txBody>
    </xdr:sp>
    <xdr:clientData/>
  </xdr:twoCellAnchor>
  <xdr:twoCellAnchor>
    <xdr:from>
      <xdr:col>14</xdr:col>
      <xdr:colOff>428434</xdr:colOff>
      <xdr:row>24</xdr:row>
      <xdr:rowOff>0</xdr:rowOff>
    </xdr:from>
    <xdr:to>
      <xdr:col>16</xdr:col>
      <xdr:colOff>290723</xdr:colOff>
      <xdr:row>27</xdr:row>
      <xdr:rowOff>30601</xdr:rowOff>
    </xdr:to>
    <xdr:sp macro="" textlink="">
      <xdr:nvSpPr>
        <xdr:cNvPr id="30" name="Right Arrow 29">
          <a:hlinkClick xmlns:r="http://schemas.openxmlformats.org/officeDocument/2006/relationships" r:id="rId16"/>
          <a:extLst>
            <a:ext uri="{FF2B5EF4-FFF2-40B4-BE49-F238E27FC236}">
              <a16:creationId xmlns:a16="http://schemas.microsoft.com/office/drawing/2014/main" id="{61F2244B-AB0D-7668-2F53-B00E7B1EBFF7}"/>
            </a:ext>
          </a:extLst>
        </xdr:cNvPr>
        <xdr:cNvSpPr/>
      </xdr:nvSpPr>
      <xdr:spPr>
        <a:xfrm>
          <a:off x="11996145" y="4773976"/>
          <a:ext cx="1514819" cy="627348"/>
        </a:xfrm>
        <a:prstGeom prst="rightArrow">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Food</a:t>
          </a:r>
        </a:p>
      </xdr:txBody>
    </xdr:sp>
    <xdr:clientData/>
  </xdr:twoCellAnchor>
  <xdr:twoCellAnchor>
    <xdr:from>
      <xdr:col>14</xdr:col>
      <xdr:colOff>428434</xdr:colOff>
      <xdr:row>26</xdr:row>
      <xdr:rowOff>168315</xdr:rowOff>
    </xdr:from>
    <xdr:to>
      <xdr:col>16</xdr:col>
      <xdr:colOff>290723</xdr:colOff>
      <xdr:row>30</xdr:row>
      <xdr:rowOff>0</xdr:rowOff>
    </xdr:to>
    <xdr:sp macro="" textlink="">
      <xdr:nvSpPr>
        <xdr:cNvPr id="31" name="Right Arrow 30">
          <a:hlinkClick xmlns:r="http://schemas.openxmlformats.org/officeDocument/2006/relationships" r:id="rId16"/>
          <a:extLst>
            <a:ext uri="{FF2B5EF4-FFF2-40B4-BE49-F238E27FC236}">
              <a16:creationId xmlns:a16="http://schemas.microsoft.com/office/drawing/2014/main" id="{4902056C-513C-3C98-1C6D-4DE274942EC2}"/>
            </a:ext>
          </a:extLst>
        </xdr:cNvPr>
        <xdr:cNvSpPr/>
      </xdr:nvSpPr>
      <xdr:spPr>
        <a:xfrm>
          <a:off x="11996145" y="5340122"/>
          <a:ext cx="1514819" cy="627348"/>
        </a:xfrm>
        <a:prstGeom prst="rightArrow">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Accounts</a:t>
          </a:r>
        </a:p>
      </xdr:txBody>
    </xdr:sp>
    <xdr:clientData/>
  </xdr:twoCellAnchor>
  <xdr:twoCellAnchor>
    <xdr:from>
      <xdr:col>14</xdr:col>
      <xdr:colOff>428434</xdr:colOff>
      <xdr:row>30</xdr:row>
      <xdr:rowOff>0</xdr:rowOff>
    </xdr:from>
    <xdr:to>
      <xdr:col>16</xdr:col>
      <xdr:colOff>290723</xdr:colOff>
      <xdr:row>33</xdr:row>
      <xdr:rowOff>30601</xdr:rowOff>
    </xdr:to>
    <xdr:sp macro="" textlink="">
      <xdr:nvSpPr>
        <xdr:cNvPr id="32" name="Right Arrow 31">
          <a:hlinkClick xmlns:r="http://schemas.openxmlformats.org/officeDocument/2006/relationships" r:id="rId16"/>
          <a:extLst>
            <a:ext uri="{FF2B5EF4-FFF2-40B4-BE49-F238E27FC236}">
              <a16:creationId xmlns:a16="http://schemas.microsoft.com/office/drawing/2014/main" id="{E8349638-7C52-2A1A-5002-400949A7F151}"/>
            </a:ext>
          </a:extLst>
        </xdr:cNvPr>
        <xdr:cNvSpPr/>
      </xdr:nvSpPr>
      <xdr:spPr>
        <a:xfrm>
          <a:off x="11996145" y="5967470"/>
          <a:ext cx="1514819" cy="627348"/>
        </a:xfrm>
        <a:prstGeom prst="rightArrow">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Cultural</a:t>
          </a:r>
        </a:p>
      </xdr:txBody>
    </xdr:sp>
    <xdr:clientData/>
  </xdr:twoCellAnchor>
  <xdr:twoCellAnchor>
    <xdr:from>
      <xdr:col>18</xdr:col>
      <xdr:colOff>397832</xdr:colOff>
      <xdr:row>15</xdr:row>
      <xdr:rowOff>107108</xdr:rowOff>
    </xdr:from>
    <xdr:to>
      <xdr:col>19</xdr:col>
      <xdr:colOff>581446</xdr:colOff>
      <xdr:row>17</xdr:row>
      <xdr:rowOff>61205</xdr:rowOff>
    </xdr:to>
    <xdr:sp macro="" textlink="">
      <xdr:nvSpPr>
        <xdr:cNvPr id="38" name="Rounded Rectangle 37">
          <a:hlinkClick xmlns:r="http://schemas.openxmlformats.org/officeDocument/2006/relationships" r:id="rId16"/>
          <a:extLst>
            <a:ext uri="{FF2B5EF4-FFF2-40B4-BE49-F238E27FC236}">
              <a16:creationId xmlns:a16="http://schemas.microsoft.com/office/drawing/2014/main" id="{7EB693F1-6892-34F9-F3E8-52F60CDDB5B5}"/>
            </a:ext>
          </a:extLst>
        </xdr:cNvPr>
        <xdr:cNvSpPr/>
      </xdr:nvSpPr>
      <xdr:spPr>
        <a:xfrm>
          <a:off x="15270603" y="3090843"/>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Nazia</a:t>
          </a:r>
        </a:p>
      </xdr:txBody>
    </xdr:sp>
    <xdr:clientData/>
  </xdr:twoCellAnchor>
  <xdr:twoCellAnchor>
    <xdr:from>
      <xdr:col>17</xdr:col>
      <xdr:colOff>0</xdr:colOff>
      <xdr:row>15</xdr:row>
      <xdr:rowOff>107108</xdr:rowOff>
    </xdr:from>
    <xdr:to>
      <xdr:col>18</xdr:col>
      <xdr:colOff>183614</xdr:colOff>
      <xdr:row>17</xdr:row>
      <xdr:rowOff>61205</xdr:rowOff>
    </xdr:to>
    <xdr:sp macro="" textlink="">
      <xdr:nvSpPr>
        <xdr:cNvPr id="40" name="Rounded Rectangle 39">
          <a:hlinkClick xmlns:r="http://schemas.openxmlformats.org/officeDocument/2006/relationships" r:id="rId16"/>
          <a:extLst>
            <a:ext uri="{FF2B5EF4-FFF2-40B4-BE49-F238E27FC236}">
              <a16:creationId xmlns:a16="http://schemas.microsoft.com/office/drawing/2014/main" id="{60190E09-E970-2D43-10A0-9080CB0ED427}"/>
            </a:ext>
          </a:extLst>
        </xdr:cNvPr>
        <xdr:cNvSpPr/>
      </xdr:nvSpPr>
      <xdr:spPr>
        <a:xfrm>
          <a:off x="14046506" y="3090843"/>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Nishu</a:t>
          </a:r>
        </a:p>
      </xdr:txBody>
    </xdr:sp>
    <xdr:clientData/>
  </xdr:twoCellAnchor>
  <xdr:twoCellAnchor>
    <xdr:from>
      <xdr:col>17</xdr:col>
      <xdr:colOff>0</xdr:colOff>
      <xdr:row>21</xdr:row>
      <xdr:rowOff>76506</xdr:rowOff>
    </xdr:from>
    <xdr:to>
      <xdr:col>18</xdr:col>
      <xdr:colOff>183614</xdr:colOff>
      <xdr:row>23</xdr:row>
      <xdr:rowOff>30603</xdr:rowOff>
    </xdr:to>
    <xdr:sp macro="" textlink="">
      <xdr:nvSpPr>
        <xdr:cNvPr id="42" name="Rounded Rectangle 41">
          <a:hlinkClick xmlns:r="http://schemas.openxmlformats.org/officeDocument/2006/relationships" r:id="rId16"/>
          <a:extLst>
            <a:ext uri="{FF2B5EF4-FFF2-40B4-BE49-F238E27FC236}">
              <a16:creationId xmlns:a16="http://schemas.microsoft.com/office/drawing/2014/main" id="{6F880F2F-F7BC-76C1-694D-09A5D3D6FA3D}"/>
            </a:ext>
          </a:extLst>
        </xdr:cNvPr>
        <xdr:cNvSpPr/>
      </xdr:nvSpPr>
      <xdr:spPr>
        <a:xfrm>
          <a:off x="14046506" y="4253735"/>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Isfar</a:t>
          </a:r>
        </a:p>
      </xdr:txBody>
    </xdr:sp>
    <xdr:clientData/>
  </xdr:twoCellAnchor>
  <xdr:twoCellAnchor>
    <xdr:from>
      <xdr:col>17</xdr:col>
      <xdr:colOff>0</xdr:colOff>
      <xdr:row>18</xdr:row>
      <xdr:rowOff>107108</xdr:rowOff>
    </xdr:from>
    <xdr:to>
      <xdr:col>18</xdr:col>
      <xdr:colOff>183614</xdr:colOff>
      <xdr:row>20</xdr:row>
      <xdr:rowOff>61205</xdr:rowOff>
    </xdr:to>
    <xdr:sp macro="" textlink="">
      <xdr:nvSpPr>
        <xdr:cNvPr id="46" name="Rounded Rectangle 45">
          <a:hlinkClick xmlns:r="http://schemas.openxmlformats.org/officeDocument/2006/relationships" r:id="rId16"/>
          <a:extLst>
            <a:ext uri="{FF2B5EF4-FFF2-40B4-BE49-F238E27FC236}">
              <a16:creationId xmlns:a16="http://schemas.microsoft.com/office/drawing/2014/main" id="{0599FE5B-CA6E-043F-4944-0124E035B704}"/>
            </a:ext>
          </a:extLst>
        </xdr:cNvPr>
        <xdr:cNvSpPr/>
      </xdr:nvSpPr>
      <xdr:spPr>
        <a:xfrm>
          <a:off x="14046506" y="3687590"/>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Rezu</a:t>
          </a:r>
        </a:p>
      </xdr:txBody>
    </xdr:sp>
    <xdr:clientData/>
  </xdr:twoCellAnchor>
  <xdr:twoCellAnchor>
    <xdr:from>
      <xdr:col>18</xdr:col>
      <xdr:colOff>428434</xdr:colOff>
      <xdr:row>21</xdr:row>
      <xdr:rowOff>76506</xdr:rowOff>
    </xdr:from>
    <xdr:to>
      <xdr:col>19</xdr:col>
      <xdr:colOff>612048</xdr:colOff>
      <xdr:row>23</xdr:row>
      <xdr:rowOff>30603</xdr:rowOff>
    </xdr:to>
    <xdr:sp macro="" textlink="">
      <xdr:nvSpPr>
        <xdr:cNvPr id="47" name="Rounded Rectangle 46">
          <a:hlinkClick xmlns:r="http://schemas.openxmlformats.org/officeDocument/2006/relationships" r:id="rId16"/>
          <a:extLst>
            <a:ext uri="{FF2B5EF4-FFF2-40B4-BE49-F238E27FC236}">
              <a16:creationId xmlns:a16="http://schemas.microsoft.com/office/drawing/2014/main" id="{E67BBE2D-0686-BEB5-0481-BCBB6AD314D9}"/>
            </a:ext>
          </a:extLst>
        </xdr:cNvPr>
        <xdr:cNvSpPr/>
      </xdr:nvSpPr>
      <xdr:spPr>
        <a:xfrm>
          <a:off x="15301205" y="4253735"/>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Rezvi</a:t>
          </a:r>
        </a:p>
      </xdr:txBody>
    </xdr:sp>
    <xdr:clientData/>
  </xdr:twoCellAnchor>
  <xdr:twoCellAnchor>
    <xdr:from>
      <xdr:col>17</xdr:col>
      <xdr:colOff>0</xdr:colOff>
      <xdr:row>24</xdr:row>
      <xdr:rowOff>153012</xdr:rowOff>
    </xdr:from>
    <xdr:to>
      <xdr:col>18</xdr:col>
      <xdr:colOff>183614</xdr:colOff>
      <xdr:row>26</xdr:row>
      <xdr:rowOff>107109</xdr:rowOff>
    </xdr:to>
    <xdr:sp macro="" textlink="">
      <xdr:nvSpPr>
        <xdr:cNvPr id="48" name="Rounded Rectangle 47">
          <a:hlinkClick xmlns:r="http://schemas.openxmlformats.org/officeDocument/2006/relationships" r:id="rId16"/>
          <a:extLst>
            <a:ext uri="{FF2B5EF4-FFF2-40B4-BE49-F238E27FC236}">
              <a16:creationId xmlns:a16="http://schemas.microsoft.com/office/drawing/2014/main" id="{5D5F78B3-0C2C-436F-5F65-C31218F6E80B}"/>
            </a:ext>
          </a:extLst>
        </xdr:cNvPr>
        <xdr:cNvSpPr/>
      </xdr:nvSpPr>
      <xdr:spPr>
        <a:xfrm>
          <a:off x="14046506" y="4926988"/>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Saleh</a:t>
          </a:r>
        </a:p>
      </xdr:txBody>
    </xdr:sp>
    <xdr:clientData/>
  </xdr:twoCellAnchor>
  <xdr:twoCellAnchor>
    <xdr:from>
      <xdr:col>18</xdr:col>
      <xdr:colOff>413133</xdr:colOff>
      <xdr:row>27</xdr:row>
      <xdr:rowOff>153012</xdr:rowOff>
    </xdr:from>
    <xdr:to>
      <xdr:col>19</xdr:col>
      <xdr:colOff>596747</xdr:colOff>
      <xdr:row>29</xdr:row>
      <xdr:rowOff>107109</xdr:rowOff>
    </xdr:to>
    <xdr:sp macro="" textlink="">
      <xdr:nvSpPr>
        <xdr:cNvPr id="49" name="Rounded Rectangle 48">
          <a:hlinkClick xmlns:r="http://schemas.openxmlformats.org/officeDocument/2006/relationships" r:id="rId16"/>
          <a:extLst>
            <a:ext uri="{FF2B5EF4-FFF2-40B4-BE49-F238E27FC236}">
              <a16:creationId xmlns:a16="http://schemas.microsoft.com/office/drawing/2014/main" id="{9E899285-538E-3A48-7133-ED242072C1B6}"/>
            </a:ext>
          </a:extLst>
        </xdr:cNvPr>
        <xdr:cNvSpPr/>
      </xdr:nvSpPr>
      <xdr:spPr>
        <a:xfrm>
          <a:off x="15285904" y="5523735"/>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Adib</a:t>
          </a:r>
        </a:p>
      </xdr:txBody>
    </xdr:sp>
    <xdr:clientData/>
  </xdr:twoCellAnchor>
  <xdr:twoCellAnchor>
    <xdr:from>
      <xdr:col>17</xdr:col>
      <xdr:colOff>0</xdr:colOff>
      <xdr:row>27</xdr:row>
      <xdr:rowOff>153012</xdr:rowOff>
    </xdr:from>
    <xdr:to>
      <xdr:col>18</xdr:col>
      <xdr:colOff>183614</xdr:colOff>
      <xdr:row>29</xdr:row>
      <xdr:rowOff>107109</xdr:rowOff>
    </xdr:to>
    <xdr:sp macro="" textlink="">
      <xdr:nvSpPr>
        <xdr:cNvPr id="50" name="Rounded Rectangle 49">
          <a:hlinkClick xmlns:r="http://schemas.openxmlformats.org/officeDocument/2006/relationships" r:id="rId16"/>
          <a:extLst>
            <a:ext uri="{FF2B5EF4-FFF2-40B4-BE49-F238E27FC236}">
              <a16:creationId xmlns:a16="http://schemas.microsoft.com/office/drawing/2014/main" id="{B23044D1-F8E6-BCEA-283E-8890DC903ECB}"/>
            </a:ext>
          </a:extLst>
        </xdr:cNvPr>
        <xdr:cNvSpPr/>
      </xdr:nvSpPr>
      <xdr:spPr>
        <a:xfrm>
          <a:off x="14046506" y="5523735"/>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Mahdee</a:t>
          </a:r>
        </a:p>
      </xdr:txBody>
    </xdr:sp>
    <xdr:clientData/>
  </xdr:twoCellAnchor>
  <xdr:twoCellAnchor>
    <xdr:from>
      <xdr:col>18</xdr:col>
      <xdr:colOff>397832</xdr:colOff>
      <xdr:row>31</xdr:row>
      <xdr:rowOff>0</xdr:rowOff>
    </xdr:from>
    <xdr:to>
      <xdr:col>19</xdr:col>
      <xdr:colOff>581446</xdr:colOff>
      <xdr:row>32</xdr:row>
      <xdr:rowOff>153013</xdr:rowOff>
    </xdr:to>
    <xdr:sp macro="" textlink="">
      <xdr:nvSpPr>
        <xdr:cNvPr id="51" name="Rounded Rectangle 50">
          <a:hlinkClick xmlns:r="http://schemas.openxmlformats.org/officeDocument/2006/relationships" r:id="rId16"/>
          <a:extLst>
            <a:ext uri="{FF2B5EF4-FFF2-40B4-BE49-F238E27FC236}">
              <a16:creationId xmlns:a16="http://schemas.microsoft.com/office/drawing/2014/main" id="{64DBFE14-8956-BE77-B57A-2A031DC75DA7}"/>
            </a:ext>
          </a:extLst>
        </xdr:cNvPr>
        <xdr:cNvSpPr/>
      </xdr:nvSpPr>
      <xdr:spPr>
        <a:xfrm>
          <a:off x="15270603" y="6166386"/>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Ayan</a:t>
          </a:r>
        </a:p>
      </xdr:txBody>
    </xdr:sp>
    <xdr:clientData/>
  </xdr:twoCellAnchor>
  <xdr:twoCellAnchor>
    <xdr:from>
      <xdr:col>17</xdr:col>
      <xdr:colOff>0</xdr:colOff>
      <xdr:row>31</xdr:row>
      <xdr:rowOff>0</xdr:rowOff>
    </xdr:from>
    <xdr:to>
      <xdr:col>18</xdr:col>
      <xdr:colOff>183614</xdr:colOff>
      <xdr:row>32</xdr:row>
      <xdr:rowOff>153013</xdr:rowOff>
    </xdr:to>
    <xdr:sp macro="" textlink="">
      <xdr:nvSpPr>
        <xdr:cNvPr id="52" name="Rounded Rectangle 51">
          <a:hlinkClick xmlns:r="http://schemas.openxmlformats.org/officeDocument/2006/relationships" r:id="rId16"/>
          <a:extLst>
            <a:ext uri="{FF2B5EF4-FFF2-40B4-BE49-F238E27FC236}">
              <a16:creationId xmlns:a16="http://schemas.microsoft.com/office/drawing/2014/main" id="{70027BFB-4466-A95A-C209-0468C8FB62BB}"/>
            </a:ext>
          </a:extLst>
        </xdr:cNvPr>
        <xdr:cNvSpPr/>
      </xdr:nvSpPr>
      <xdr:spPr>
        <a:xfrm>
          <a:off x="14046506" y="6166386"/>
          <a:ext cx="1009879" cy="351928"/>
        </a:xfrm>
        <a:prstGeom prst="roundRect">
          <a:avLst/>
        </a:prstGeom>
        <a:gradFill>
          <a:gsLst>
            <a:gs pos="87000">
              <a:srgbClr val="40330B"/>
            </a:gs>
            <a:gs pos="6000">
              <a:srgbClr val="FF0000"/>
            </a:gs>
            <a:gs pos="41000">
              <a:srgbClr val="C00000"/>
            </a:gs>
            <a:gs pos="100000">
              <a:schemeClr val="tx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Afia</a:t>
          </a:r>
        </a:p>
      </xdr:txBody>
    </xdr:sp>
    <xdr:clientData/>
  </xdr:twoCellAnchor>
  <xdr:twoCellAnchor editAs="oneCell">
    <xdr:from>
      <xdr:col>2</xdr:col>
      <xdr:colOff>725713</xdr:colOff>
      <xdr:row>2</xdr:row>
      <xdr:rowOff>60477</xdr:rowOff>
    </xdr:from>
    <xdr:to>
      <xdr:col>7</xdr:col>
      <xdr:colOff>555574</xdr:colOff>
      <xdr:row>21</xdr:row>
      <xdr:rowOff>161271</xdr:rowOff>
    </xdr:to>
    <xdr:pic>
      <xdr:nvPicPr>
        <xdr:cNvPr id="54" name="Picture 53" descr="Location ">
          <a:extLst>
            <a:ext uri="{FF2B5EF4-FFF2-40B4-BE49-F238E27FC236}">
              <a16:creationId xmlns:a16="http://schemas.microsoft.com/office/drawing/2014/main" id="{79FF1BA4-2547-5E32-0224-CEBF218C6F10}"/>
            </a:ext>
          </a:extLst>
        </xdr:cNvPr>
        <xdr:cNvPicPr>
          <a:picLocks noChangeAspect="1" noChangeArrowheads="1"/>
        </xdr:cNvPicPr>
      </xdr:nvPicPr>
      <xdr:blipFill>
        <a:blip xmlns:r="http://schemas.openxmlformats.org/officeDocument/2006/relationships" r:embed="rId17" cstate="print">
          <a:alphaModFix amt="17000"/>
          <a:extLst>
            <a:ext uri="{28A0092B-C50C-407E-A947-70E740481C1C}">
              <a14:useLocalDpi xmlns:a14="http://schemas.microsoft.com/office/drawing/2010/main" val="0"/>
            </a:ext>
          </a:extLst>
        </a:blip>
        <a:srcRect/>
        <a:stretch>
          <a:fillRect/>
        </a:stretch>
      </xdr:blipFill>
      <xdr:spPr bwMode="auto">
        <a:xfrm>
          <a:off x="2378729" y="463652"/>
          <a:ext cx="3962401" cy="39309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368300</xdr:colOff>
      <xdr:row>32</xdr:row>
      <xdr:rowOff>114300</xdr:rowOff>
    </xdr:from>
    <xdr:to>
      <xdr:col>1</xdr:col>
      <xdr:colOff>520700</xdr:colOff>
      <xdr:row>34</xdr:row>
      <xdr:rowOff>0</xdr:rowOff>
    </xdr:to>
    <xdr:sp macro="" textlink="">
      <xdr:nvSpPr>
        <xdr:cNvPr id="4" name="TextBox 3">
          <a:extLst>
            <a:ext uri="{FF2B5EF4-FFF2-40B4-BE49-F238E27FC236}">
              <a16:creationId xmlns:a16="http://schemas.microsoft.com/office/drawing/2014/main" id="{D156CA1E-5948-0F5E-C3C1-FD03F1CD1073}"/>
            </a:ext>
          </a:extLst>
        </xdr:cNvPr>
        <xdr:cNvSpPr txBox="1"/>
      </xdr:nvSpPr>
      <xdr:spPr>
        <a:xfrm>
          <a:off x="368300" y="6210300"/>
          <a:ext cx="977900" cy="2921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Drive LInk</a:t>
          </a:r>
        </a:p>
      </xdr:txBody>
    </xdr:sp>
    <xdr:clientData/>
  </xdr:twoCellAnchor>
  <xdr:twoCellAnchor editAs="oneCell">
    <xdr:from>
      <xdr:col>0</xdr:col>
      <xdr:colOff>520700</xdr:colOff>
      <xdr:row>28</xdr:row>
      <xdr:rowOff>152400</xdr:rowOff>
    </xdr:from>
    <xdr:to>
      <xdr:col>1</xdr:col>
      <xdr:colOff>368300</xdr:colOff>
      <xdr:row>32</xdr:row>
      <xdr:rowOff>12700</xdr:rowOff>
    </xdr:to>
    <xdr:pic>
      <xdr:nvPicPr>
        <xdr:cNvPr id="14" name="Picture 13" descr="Google drive icon">
          <a:hlinkClick xmlns:r="http://schemas.openxmlformats.org/officeDocument/2006/relationships" r:id="rId18"/>
          <a:extLst>
            <a:ext uri="{FF2B5EF4-FFF2-40B4-BE49-F238E27FC236}">
              <a16:creationId xmlns:a16="http://schemas.microsoft.com/office/drawing/2014/main" id="{0A1BBFA9-89A6-0735-324B-134AA79705E8}"/>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20700" y="5435600"/>
          <a:ext cx="673100" cy="67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190500</xdr:rowOff>
    </xdr:from>
    <xdr:to>
      <xdr:col>1</xdr:col>
      <xdr:colOff>546759</xdr:colOff>
      <xdr:row>30</xdr:row>
      <xdr:rowOff>103135</xdr:rowOff>
    </xdr:to>
    <xdr:sp macro="" textlink="">
      <xdr:nvSpPr>
        <xdr:cNvPr id="9" name="Rounded Rectangle 8">
          <a:extLst>
            <a:ext uri="{FF2B5EF4-FFF2-40B4-BE49-F238E27FC236}">
              <a16:creationId xmlns:a16="http://schemas.microsoft.com/office/drawing/2014/main" id="{010031AC-9B99-8343-9543-AA8F18320526}"/>
            </a:ext>
          </a:extLst>
        </xdr:cNvPr>
        <xdr:cNvSpPr/>
      </xdr:nvSpPr>
      <xdr:spPr>
        <a:xfrm>
          <a:off x="152400" y="190500"/>
          <a:ext cx="1321459" cy="644043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406400</xdr:colOff>
      <xdr:row>11</xdr:row>
      <xdr:rowOff>122104</xdr:rowOff>
    </xdr:from>
    <xdr:to>
      <xdr:col>1</xdr:col>
      <xdr:colOff>292865</xdr:colOff>
      <xdr:row>15</xdr:row>
      <xdr:rowOff>104967</xdr:rowOff>
    </xdr:to>
    <xdr:pic>
      <xdr:nvPicPr>
        <xdr:cNvPr id="10" name="Picture 9">
          <a:hlinkClick xmlns:r="http://schemas.openxmlformats.org/officeDocument/2006/relationships" r:id="rId1"/>
          <a:extLst>
            <a:ext uri="{FF2B5EF4-FFF2-40B4-BE49-F238E27FC236}">
              <a16:creationId xmlns:a16="http://schemas.microsoft.com/office/drawing/2014/main" id="{A18297FD-B592-EE46-B6C3-D0E4F00015F3}"/>
            </a:ext>
          </a:extLst>
        </xdr:cNvPr>
        <xdr:cNvPicPr>
          <a:picLocks noChangeAspect="1"/>
        </xdr:cNvPicPr>
      </xdr:nvPicPr>
      <xdr:blipFill>
        <a:blip xmlns:r="http://schemas.openxmlformats.org/officeDocument/2006/relationships" r:embed="rId2"/>
        <a:stretch>
          <a:fillRect/>
        </a:stretch>
      </xdr:blipFill>
      <xdr:spPr>
        <a:xfrm>
          <a:off x="406400" y="2789104"/>
          <a:ext cx="813565" cy="795663"/>
        </a:xfrm>
        <a:prstGeom prst="rect">
          <a:avLst/>
        </a:prstGeom>
      </xdr:spPr>
    </xdr:pic>
    <xdr:clientData/>
  </xdr:twoCellAnchor>
  <xdr:twoCellAnchor editAs="oneCell">
    <xdr:from>
      <xdr:col>0</xdr:col>
      <xdr:colOff>425610</xdr:colOff>
      <xdr:row>21</xdr:row>
      <xdr:rowOff>142761</xdr:rowOff>
    </xdr:from>
    <xdr:to>
      <xdr:col>1</xdr:col>
      <xdr:colOff>312075</xdr:colOff>
      <xdr:row>25</xdr:row>
      <xdr:rowOff>125623</xdr:rowOff>
    </xdr:to>
    <xdr:pic>
      <xdr:nvPicPr>
        <xdr:cNvPr id="11" name="Picture 10" descr="Add ">
          <a:hlinkClick xmlns:r="http://schemas.openxmlformats.org/officeDocument/2006/relationships" r:id="rId3"/>
          <a:extLst>
            <a:ext uri="{FF2B5EF4-FFF2-40B4-BE49-F238E27FC236}">
              <a16:creationId xmlns:a16="http://schemas.microsoft.com/office/drawing/2014/main" id="{FCA66C0C-7223-1346-A95E-CCA3CCDBD6D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25610" y="4841761"/>
          <a:ext cx="813565" cy="795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349410</xdr:colOff>
      <xdr:row>26</xdr:row>
      <xdr:rowOff>95939</xdr:rowOff>
    </xdr:from>
    <xdr:to>
      <xdr:col>1</xdr:col>
      <xdr:colOff>388275</xdr:colOff>
      <xdr:row>28</xdr:row>
      <xdr:rowOff>150870</xdr:rowOff>
    </xdr:to>
    <xdr:sp macro="" textlink="">
      <xdr:nvSpPr>
        <xdr:cNvPr id="12" name="TextBox 11">
          <a:extLst>
            <a:ext uri="{FF2B5EF4-FFF2-40B4-BE49-F238E27FC236}">
              <a16:creationId xmlns:a16="http://schemas.microsoft.com/office/drawing/2014/main" id="{8CD4C31D-154C-E848-8734-28C5AEAC2C21}"/>
            </a:ext>
          </a:extLst>
        </xdr:cNvPr>
        <xdr:cNvSpPr txBox="1"/>
      </xdr:nvSpPr>
      <xdr:spPr>
        <a:xfrm>
          <a:off x="349410" y="5810939"/>
          <a:ext cx="965965" cy="46133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Enter new</a:t>
          </a:r>
          <a:r>
            <a:rPr lang="en-US" sz="1200" b="1" baseline="0">
              <a:solidFill>
                <a:schemeClr val="bg1"/>
              </a:solidFill>
              <a:latin typeface="Britannic Bold" panose="020B0903060703020204" pitchFamily="34" charset="77"/>
            </a:rPr>
            <a:t> data</a:t>
          </a:r>
          <a:endParaRPr lang="en-US" sz="1200" b="1">
            <a:solidFill>
              <a:schemeClr val="bg1"/>
            </a:solidFill>
            <a:latin typeface="Britannic Bold" panose="020B0903060703020204" pitchFamily="34" charset="77"/>
          </a:endParaRPr>
        </a:p>
      </xdr:txBody>
    </xdr:sp>
    <xdr:clientData/>
  </xdr:twoCellAnchor>
  <xdr:twoCellAnchor>
    <xdr:from>
      <xdr:col>0</xdr:col>
      <xdr:colOff>285910</xdr:colOff>
      <xdr:row>17</xdr:row>
      <xdr:rowOff>38100</xdr:rowOff>
    </xdr:from>
    <xdr:to>
      <xdr:col>1</xdr:col>
      <xdr:colOff>392327</xdr:colOff>
      <xdr:row>19</xdr:row>
      <xdr:rowOff>165100</xdr:rowOff>
    </xdr:to>
    <xdr:sp macro="" textlink="">
      <xdr:nvSpPr>
        <xdr:cNvPr id="13" name="TextBox 12">
          <a:extLst>
            <a:ext uri="{FF2B5EF4-FFF2-40B4-BE49-F238E27FC236}">
              <a16:creationId xmlns:a16="http://schemas.microsoft.com/office/drawing/2014/main" id="{F4ED39B5-521A-EF49-8216-4CA900F092F5}"/>
            </a:ext>
          </a:extLst>
        </xdr:cNvPr>
        <xdr:cNvSpPr txBox="1"/>
      </xdr:nvSpPr>
      <xdr:spPr>
        <a:xfrm>
          <a:off x="285910" y="3886200"/>
          <a:ext cx="1033517" cy="5334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Go to database</a:t>
          </a:r>
        </a:p>
      </xdr:txBody>
    </xdr:sp>
    <xdr:clientData/>
  </xdr:twoCellAnchor>
  <xdr:twoCellAnchor editAs="oneCell">
    <xdr:from>
      <xdr:col>0</xdr:col>
      <xdr:colOff>393700</xdr:colOff>
      <xdr:row>2</xdr:row>
      <xdr:rowOff>29532</xdr:rowOff>
    </xdr:from>
    <xdr:to>
      <xdr:col>1</xdr:col>
      <xdr:colOff>280165</xdr:colOff>
      <xdr:row>5</xdr:row>
      <xdr:rowOff>101294</xdr:rowOff>
    </xdr:to>
    <xdr:pic>
      <xdr:nvPicPr>
        <xdr:cNvPr id="14" name="Picture 13">
          <a:hlinkClick xmlns:r="http://schemas.openxmlformats.org/officeDocument/2006/relationships" r:id="rId5"/>
          <a:extLst>
            <a:ext uri="{FF2B5EF4-FFF2-40B4-BE49-F238E27FC236}">
              <a16:creationId xmlns:a16="http://schemas.microsoft.com/office/drawing/2014/main" id="{F5CF13D0-B949-A54C-8154-D298E796D1F2}"/>
            </a:ext>
          </a:extLst>
        </xdr:cNvPr>
        <xdr:cNvPicPr>
          <a:picLocks noChangeAspect="1"/>
        </xdr:cNvPicPr>
      </xdr:nvPicPr>
      <xdr:blipFill>
        <a:blip xmlns:r="http://schemas.openxmlformats.org/officeDocument/2006/relationships" r:embed="rId6"/>
        <a:stretch>
          <a:fillRect/>
        </a:stretch>
      </xdr:blipFill>
      <xdr:spPr>
        <a:xfrm>
          <a:off x="393700" y="601032"/>
          <a:ext cx="813565" cy="795662"/>
        </a:xfrm>
        <a:prstGeom prst="rect">
          <a:avLst/>
        </a:prstGeom>
      </xdr:spPr>
    </xdr:pic>
    <xdr:clientData/>
  </xdr:twoCellAnchor>
  <xdr:twoCellAnchor>
    <xdr:from>
      <xdr:col>0</xdr:col>
      <xdr:colOff>235110</xdr:colOff>
      <xdr:row>6</xdr:row>
      <xdr:rowOff>114300</xdr:rowOff>
    </xdr:from>
    <xdr:to>
      <xdr:col>1</xdr:col>
      <xdr:colOff>466277</xdr:colOff>
      <xdr:row>8</xdr:row>
      <xdr:rowOff>139700</xdr:rowOff>
    </xdr:to>
    <xdr:sp macro="" textlink="">
      <xdr:nvSpPr>
        <xdr:cNvPr id="15" name="TextBox 14">
          <a:extLst>
            <a:ext uri="{FF2B5EF4-FFF2-40B4-BE49-F238E27FC236}">
              <a16:creationId xmlns:a16="http://schemas.microsoft.com/office/drawing/2014/main" id="{36BEDBD6-DA1B-DF42-A8E4-56B5158C58D1}"/>
            </a:ext>
          </a:extLst>
        </xdr:cNvPr>
        <xdr:cNvSpPr txBox="1"/>
      </xdr:nvSpPr>
      <xdr:spPr>
        <a:xfrm>
          <a:off x="235110" y="1689100"/>
          <a:ext cx="1158267"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Show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285590</xdr:colOff>
      <xdr:row>0</xdr:row>
      <xdr:rowOff>50801</xdr:rowOff>
    </xdr:from>
    <xdr:to>
      <xdr:col>7</xdr:col>
      <xdr:colOff>1606284</xdr:colOff>
      <xdr:row>22</xdr:row>
      <xdr:rowOff>50801</xdr:rowOff>
    </xdr:to>
    <xdr:sp macro="" textlink="">
      <xdr:nvSpPr>
        <xdr:cNvPr id="2" name="Rounded Rectangle 1">
          <a:extLst>
            <a:ext uri="{FF2B5EF4-FFF2-40B4-BE49-F238E27FC236}">
              <a16:creationId xmlns:a16="http://schemas.microsoft.com/office/drawing/2014/main" id="{46262989-83E5-3F43-90E0-128B5D77B8DD}"/>
            </a:ext>
          </a:extLst>
        </xdr:cNvPr>
        <xdr:cNvSpPr/>
      </xdr:nvSpPr>
      <xdr:spPr>
        <a:xfrm>
          <a:off x="12756990" y="50801"/>
          <a:ext cx="1320694" cy="66675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577690</xdr:colOff>
      <xdr:row>8</xdr:row>
      <xdr:rowOff>393700</xdr:rowOff>
    </xdr:from>
    <xdr:to>
      <xdr:col>7</xdr:col>
      <xdr:colOff>1390490</xdr:colOff>
      <xdr:row>11</xdr:row>
      <xdr:rowOff>88900</xdr:rowOff>
    </xdr:to>
    <xdr:pic>
      <xdr:nvPicPr>
        <xdr:cNvPr id="3" name="Picture 2">
          <a:hlinkClick xmlns:r="http://schemas.openxmlformats.org/officeDocument/2006/relationships" r:id="rId1"/>
          <a:extLst>
            <a:ext uri="{FF2B5EF4-FFF2-40B4-BE49-F238E27FC236}">
              <a16:creationId xmlns:a16="http://schemas.microsoft.com/office/drawing/2014/main" id="{F6C980FD-1CE3-0426-0C6D-7FBE9ABE559B}"/>
            </a:ext>
          </a:extLst>
        </xdr:cNvPr>
        <xdr:cNvPicPr>
          <a:picLocks noChangeAspect="1"/>
        </xdr:cNvPicPr>
      </xdr:nvPicPr>
      <xdr:blipFill>
        <a:blip xmlns:r="http://schemas.openxmlformats.org/officeDocument/2006/relationships" r:embed="rId2"/>
        <a:stretch>
          <a:fillRect/>
        </a:stretch>
      </xdr:blipFill>
      <xdr:spPr>
        <a:xfrm>
          <a:off x="13049090" y="3048000"/>
          <a:ext cx="812800" cy="812800"/>
        </a:xfrm>
        <a:prstGeom prst="rect">
          <a:avLst/>
        </a:prstGeom>
      </xdr:spPr>
    </xdr:pic>
    <xdr:clientData/>
  </xdr:twoCellAnchor>
  <xdr:twoCellAnchor editAs="oneCell">
    <xdr:from>
      <xdr:col>7</xdr:col>
      <xdr:colOff>558800</xdr:colOff>
      <xdr:row>13</xdr:row>
      <xdr:rowOff>508000</xdr:rowOff>
    </xdr:from>
    <xdr:to>
      <xdr:col>7</xdr:col>
      <xdr:colOff>1371600</xdr:colOff>
      <xdr:row>17</xdr:row>
      <xdr:rowOff>0</xdr:rowOff>
    </xdr:to>
    <xdr:pic>
      <xdr:nvPicPr>
        <xdr:cNvPr id="4" name="Picture 3" descr="Add ">
          <a:hlinkClick xmlns:r="http://schemas.openxmlformats.org/officeDocument/2006/relationships" r:id="rId3"/>
          <a:extLst>
            <a:ext uri="{FF2B5EF4-FFF2-40B4-BE49-F238E27FC236}">
              <a16:creationId xmlns:a16="http://schemas.microsoft.com/office/drawing/2014/main" id="{4A2A27E0-7EFA-5D4F-B80B-FBACAF064D1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030200" y="4838700"/>
          <a:ext cx="812800" cy="81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482600</xdr:colOff>
      <xdr:row>17</xdr:row>
      <xdr:rowOff>177800</xdr:rowOff>
    </xdr:from>
    <xdr:to>
      <xdr:col>7</xdr:col>
      <xdr:colOff>1447800</xdr:colOff>
      <xdr:row>20</xdr:row>
      <xdr:rowOff>38100</xdr:rowOff>
    </xdr:to>
    <xdr:sp macro="" textlink="">
      <xdr:nvSpPr>
        <xdr:cNvPr id="5" name="TextBox 4">
          <a:extLst>
            <a:ext uri="{FF2B5EF4-FFF2-40B4-BE49-F238E27FC236}">
              <a16:creationId xmlns:a16="http://schemas.microsoft.com/office/drawing/2014/main" id="{4EB520CF-FCFC-B0E6-5A43-2073CD40E2CE}"/>
            </a:ext>
          </a:extLst>
        </xdr:cNvPr>
        <xdr:cNvSpPr txBox="1"/>
      </xdr:nvSpPr>
      <xdr:spPr>
        <a:xfrm>
          <a:off x="12954000" y="58293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Enter new</a:t>
          </a:r>
          <a:r>
            <a:rPr lang="en-US" sz="1200" b="1" baseline="0">
              <a:solidFill>
                <a:schemeClr val="bg1"/>
              </a:solidFill>
              <a:latin typeface="Britannic Bold" panose="020B0903060703020204" pitchFamily="34" charset="77"/>
            </a:rPr>
            <a:t> data</a:t>
          </a:r>
          <a:endParaRPr lang="en-US" sz="1200" b="1">
            <a:solidFill>
              <a:schemeClr val="bg1"/>
            </a:solidFill>
            <a:latin typeface="Britannic Bold" panose="020B0903060703020204" pitchFamily="34" charset="77"/>
          </a:endParaRPr>
        </a:p>
      </xdr:txBody>
    </xdr:sp>
    <xdr:clientData/>
  </xdr:twoCellAnchor>
  <xdr:twoCellAnchor>
    <xdr:from>
      <xdr:col>7</xdr:col>
      <xdr:colOff>482600</xdr:colOff>
      <xdr:row>12</xdr:row>
      <xdr:rowOff>38100</xdr:rowOff>
    </xdr:from>
    <xdr:to>
      <xdr:col>7</xdr:col>
      <xdr:colOff>1447800</xdr:colOff>
      <xdr:row>13</xdr:row>
      <xdr:rowOff>304800</xdr:rowOff>
    </xdr:to>
    <xdr:sp macro="" textlink="">
      <xdr:nvSpPr>
        <xdr:cNvPr id="6" name="TextBox 5">
          <a:extLst>
            <a:ext uri="{FF2B5EF4-FFF2-40B4-BE49-F238E27FC236}">
              <a16:creationId xmlns:a16="http://schemas.microsoft.com/office/drawing/2014/main" id="{10D97A4C-9F82-00C8-8301-BEC45919E2AF}"/>
            </a:ext>
          </a:extLst>
        </xdr:cNvPr>
        <xdr:cNvSpPr txBox="1"/>
      </xdr:nvSpPr>
      <xdr:spPr>
        <a:xfrm>
          <a:off x="12954000" y="4089400"/>
          <a:ext cx="965200" cy="5461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Go to database</a:t>
          </a:r>
        </a:p>
      </xdr:txBody>
    </xdr:sp>
    <xdr:clientData/>
  </xdr:twoCellAnchor>
  <xdr:twoCellAnchor editAs="oneCell">
    <xdr:from>
      <xdr:col>7</xdr:col>
      <xdr:colOff>564990</xdr:colOff>
      <xdr:row>1</xdr:row>
      <xdr:rowOff>165100</xdr:rowOff>
    </xdr:from>
    <xdr:to>
      <xdr:col>7</xdr:col>
      <xdr:colOff>1377790</xdr:colOff>
      <xdr:row>4</xdr:row>
      <xdr:rowOff>127000</xdr:rowOff>
    </xdr:to>
    <xdr:pic>
      <xdr:nvPicPr>
        <xdr:cNvPr id="7" name="Picture 6">
          <a:hlinkClick xmlns:r="http://schemas.openxmlformats.org/officeDocument/2006/relationships" r:id="rId5"/>
          <a:extLst>
            <a:ext uri="{FF2B5EF4-FFF2-40B4-BE49-F238E27FC236}">
              <a16:creationId xmlns:a16="http://schemas.microsoft.com/office/drawing/2014/main" id="{B0D7EC8D-0756-0B2D-3E6B-C5F89DCAE9AA}"/>
            </a:ext>
          </a:extLst>
        </xdr:cNvPr>
        <xdr:cNvPicPr>
          <a:picLocks noChangeAspect="1"/>
        </xdr:cNvPicPr>
      </xdr:nvPicPr>
      <xdr:blipFill>
        <a:blip xmlns:r="http://schemas.openxmlformats.org/officeDocument/2006/relationships" r:embed="rId6"/>
        <a:stretch>
          <a:fillRect/>
        </a:stretch>
      </xdr:blipFill>
      <xdr:spPr>
        <a:xfrm>
          <a:off x="10432890" y="469900"/>
          <a:ext cx="812800" cy="812800"/>
        </a:xfrm>
        <a:prstGeom prst="rect">
          <a:avLst/>
        </a:prstGeom>
      </xdr:spPr>
    </xdr:pic>
    <xdr:clientData/>
  </xdr:twoCellAnchor>
  <xdr:twoCellAnchor>
    <xdr:from>
      <xdr:col>7</xdr:col>
      <xdr:colOff>482600</xdr:colOff>
      <xdr:row>5</xdr:row>
      <xdr:rowOff>50800</xdr:rowOff>
    </xdr:from>
    <xdr:to>
      <xdr:col>7</xdr:col>
      <xdr:colOff>1473200</xdr:colOff>
      <xdr:row>8</xdr:row>
      <xdr:rowOff>38100</xdr:rowOff>
    </xdr:to>
    <xdr:sp macro="" textlink="">
      <xdr:nvSpPr>
        <xdr:cNvPr id="8" name="TextBox 7">
          <a:extLst>
            <a:ext uri="{FF2B5EF4-FFF2-40B4-BE49-F238E27FC236}">
              <a16:creationId xmlns:a16="http://schemas.microsoft.com/office/drawing/2014/main" id="{2B2A40E2-39F5-ABC6-BE66-D0B1D8060A7D}"/>
            </a:ext>
          </a:extLst>
        </xdr:cNvPr>
        <xdr:cNvSpPr txBox="1"/>
      </xdr:nvSpPr>
      <xdr:spPr>
        <a:xfrm>
          <a:off x="10350500" y="1333500"/>
          <a:ext cx="990600" cy="596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Show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749300</xdr:colOff>
      <xdr:row>10</xdr:row>
      <xdr:rowOff>165100</xdr:rowOff>
    </xdr:from>
    <xdr:to>
      <xdr:col>9</xdr:col>
      <xdr:colOff>901700</xdr:colOff>
      <xdr:row>13</xdr:row>
      <xdr:rowOff>0</xdr:rowOff>
    </xdr:to>
    <xdr:sp macro="[0]!add" textlink="">
      <xdr:nvSpPr>
        <xdr:cNvPr id="3" name="Rounded Rectangle 2">
          <a:extLst>
            <a:ext uri="{FF2B5EF4-FFF2-40B4-BE49-F238E27FC236}">
              <a16:creationId xmlns:a16="http://schemas.microsoft.com/office/drawing/2014/main" id="{BDAA083B-1542-DA44-085B-2EFB9EC0ED14}"/>
            </a:ext>
          </a:extLst>
        </xdr:cNvPr>
        <xdr:cNvSpPr/>
      </xdr:nvSpPr>
      <xdr:spPr>
        <a:xfrm>
          <a:off x="8534400" y="2501900"/>
          <a:ext cx="1308100" cy="444500"/>
        </a:xfrm>
        <a:prstGeom prst="roundRect">
          <a:avLst>
            <a:gd name="adj" fmla="val 50000"/>
          </a:avLst>
        </a:prstGeom>
        <a:solidFill>
          <a:schemeClr val="tx1">
            <a:lumMod val="65000"/>
            <a:lumOff val="35000"/>
          </a:schemeClr>
        </a:solidFill>
        <a:ln>
          <a:noFill/>
        </a:ln>
        <a:effectLst>
          <a:outerShdw blurRad="50800" dist="50800" dir="5400000" algn="ctr" rotWithShape="0">
            <a:srgbClr val="000000">
              <a:alpha val="50000"/>
            </a:srgb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2000" b="1"/>
            <a:t>Enter</a:t>
          </a:r>
        </a:p>
      </xdr:txBody>
    </xdr:sp>
    <xdr:clientData/>
  </xdr:twoCellAnchor>
  <xdr:twoCellAnchor>
    <xdr:from>
      <xdr:col>3</xdr:col>
      <xdr:colOff>749300</xdr:colOff>
      <xdr:row>10</xdr:row>
      <xdr:rowOff>165100</xdr:rowOff>
    </xdr:from>
    <xdr:to>
      <xdr:col>4</xdr:col>
      <xdr:colOff>596900</xdr:colOff>
      <xdr:row>13</xdr:row>
      <xdr:rowOff>0</xdr:rowOff>
    </xdr:to>
    <xdr:sp macro="[0]!Donation_entry" textlink="">
      <xdr:nvSpPr>
        <xdr:cNvPr id="4" name="Rounded Rectangle 3">
          <a:extLst>
            <a:ext uri="{FF2B5EF4-FFF2-40B4-BE49-F238E27FC236}">
              <a16:creationId xmlns:a16="http://schemas.microsoft.com/office/drawing/2014/main" id="{5942098E-1099-8DFF-74AE-45D60F662B99}"/>
            </a:ext>
          </a:extLst>
        </xdr:cNvPr>
        <xdr:cNvSpPr/>
      </xdr:nvSpPr>
      <xdr:spPr>
        <a:xfrm>
          <a:off x="3225800" y="2527300"/>
          <a:ext cx="1892300" cy="444500"/>
        </a:xfrm>
        <a:prstGeom prst="roundRect">
          <a:avLst>
            <a:gd name="adj" fmla="val 50000"/>
          </a:avLst>
        </a:prstGeom>
        <a:solidFill>
          <a:schemeClr val="tx1">
            <a:lumMod val="65000"/>
            <a:lumOff val="35000"/>
          </a:schemeClr>
        </a:solidFill>
        <a:ln>
          <a:noFill/>
        </a:ln>
        <a:effectLst>
          <a:outerShdw blurRad="50800" dist="50800" dir="5400000" algn="ctr" rotWithShape="0">
            <a:srgbClr val="000000">
              <a:alpha val="50000"/>
            </a:srgb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2000" b="1"/>
            <a:t>Enter</a:t>
          </a:r>
        </a:p>
      </xdr:txBody>
    </xdr:sp>
    <xdr:clientData/>
  </xdr:twoCellAnchor>
  <xdr:twoCellAnchor>
    <xdr:from>
      <xdr:col>0</xdr:col>
      <xdr:colOff>177800</xdr:colOff>
      <xdr:row>2</xdr:row>
      <xdr:rowOff>38100</xdr:rowOff>
    </xdr:from>
    <xdr:to>
      <xdr:col>1</xdr:col>
      <xdr:colOff>672994</xdr:colOff>
      <xdr:row>32</xdr:row>
      <xdr:rowOff>100533</xdr:rowOff>
    </xdr:to>
    <xdr:sp macro="" textlink="">
      <xdr:nvSpPr>
        <xdr:cNvPr id="11" name="Rounded Rectangle 10">
          <a:extLst>
            <a:ext uri="{FF2B5EF4-FFF2-40B4-BE49-F238E27FC236}">
              <a16:creationId xmlns:a16="http://schemas.microsoft.com/office/drawing/2014/main" id="{D357FF2A-F4C2-6A48-B515-FE7DA5477A38}"/>
            </a:ext>
          </a:extLst>
        </xdr:cNvPr>
        <xdr:cNvSpPr/>
      </xdr:nvSpPr>
      <xdr:spPr>
        <a:xfrm>
          <a:off x="177800" y="444500"/>
          <a:ext cx="1320694" cy="6577533"/>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469900</xdr:colOff>
      <xdr:row>13</xdr:row>
      <xdr:rowOff>38100</xdr:rowOff>
    </xdr:from>
    <xdr:to>
      <xdr:col>1</xdr:col>
      <xdr:colOff>457200</xdr:colOff>
      <xdr:row>17</xdr:row>
      <xdr:rowOff>38100</xdr:rowOff>
    </xdr:to>
    <xdr:pic>
      <xdr:nvPicPr>
        <xdr:cNvPr id="12" name="Picture 11">
          <a:hlinkClick xmlns:r="http://schemas.openxmlformats.org/officeDocument/2006/relationships" r:id="rId1"/>
          <a:extLst>
            <a:ext uri="{FF2B5EF4-FFF2-40B4-BE49-F238E27FC236}">
              <a16:creationId xmlns:a16="http://schemas.microsoft.com/office/drawing/2014/main" id="{3701FD1F-68E9-FF42-B294-59020E8BF24A}"/>
            </a:ext>
          </a:extLst>
        </xdr:cNvPr>
        <xdr:cNvPicPr>
          <a:picLocks noChangeAspect="1"/>
        </xdr:cNvPicPr>
      </xdr:nvPicPr>
      <xdr:blipFill>
        <a:blip xmlns:r="http://schemas.openxmlformats.org/officeDocument/2006/relationships" r:embed="rId2"/>
        <a:stretch>
          <a:fillRect/>
        </a:stretch>
      </xdr:blipFill>
      <xdr:spPr>
        <a:xfrm>
          <a:off x="469900" y="3098800"/>
          <a:ext cx="812800" cy="812800"/>
        </a:xfrm>
        <a:prstGeom prst="rect">
          <a:avLst/>
        </a:prstGeom>
      </xdr:spPr>
    </xdr:pic>
    <xdr:clientData/>
  </xdr:twoCellAnchor>
  <xdr:twoCellAnchor editAs="oneCell">
    <xdr:from>
      <xdr:col>0</xdr:col>
      <xdr:colOff>451010</xdr:colOff>
      <xdr:row>23</xdr:row>
      <xdr:rowOff>101600</xdr:rowOff>
    </xdr:from>
    <xdr:to>
      <xdr:col>1</xdr:col>
      <xdr:colOff>438310</xdr:colOff>
      <xdr:row>27</xdr:row>
      <xdr:rowOff>101600</xdr:rowOff>
    </xdr:to>
    <xdr:pic>
      <xdr:nvPicPr>
        <xdr:cNvPr id="13" name="Picture 12" descr="Add ">
          <a:hlinkClick xmlns:r="http://schemas.openxmlformats.org/officeDocument/2006/relationships" r:id="rId3"/>
          <a:extLst>
            <a:ext uri="{FF2B5EF4-FFF2-40B4-BE49-F238E27FC236}">
              <a16:creationId xmlns:a16="http://schemas.microsoft.com/office/drawing/2014/main" id="{DACC1F3B-6929-2F4B-858F-4FFBA4FB285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1010" y="5194300"/>
          <a:ext cx="812800" cy="81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374810</xdr:colOff>
      <xdr:row>28</xdr:row>
      <xdr:rowOff>76200</xdr:rowOff>
    </xdr:from>
    <xdr:to>
      <xdr:col>1</xdr:col>
      <xdr:colOff>514510</xdr:colOff>
      <xdr:row>30</xdr:row>
      <xdr:rowOff>139700</xdr:rowOff>
    </xdr:to>
    <xdr:sp macro="" textlink="">
      <xdr:nvSpPr>
        <xdr:cNvPr id="14" name="TextBox 13">
          <a:extLst>
            <a:ext uri="{FF2B5EF4-FFF2-40B4-BE49-F238E27FC236}">
              <a16:creationId xmlns:a16="http://schemas.microsoft.com/office/drawing/2014/main" id="{58DAD97B-22D2-E94C-B638-489515C958F3}"/>
            </a:ext>
          </a:extLst>
        </xdr:cNvPr>
        <xdr:cNvSpPr txBox="1"/>
      </xdr:nvSpPr>
      <xdr:spPr>
        <a:xfrm>
          <a:off x="374810" y="61849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Enter new</a:t>
          </a:r>
          <a:r>
            <a:rPr lang="en-US" sz="1200" b="1" baseline="0">
              <a:solidFill>
                <a:schemeClr val="bg1"/>
              </a:solidFill>
              <a:latin typeface="Britannic Bold" panose="020B0903060703020204" pitchFamily="34" charset="77"/>
            </a:rPr>
            <a:t> data</a:t>
          </a:r>
          <a:endParaRPr lang="en-US" sz="1200" b="1">
            <a:solidFill>
              <a:schemeClr val="bg1"/>
            </a:solidFill>
            <a:latin typeface="Britannic Bold" panose="020B0903060703020204" pitchFamily="34" charset="77"/>
          </a:endParaRPr>
        </a:p>
      </xdr:txBody>
    </xdr:sp>
    <xdr:clientData/>
  </xdr:twoCellAnchor>
  <xdr:twoCellAnchor>
    <xdr:from>
      <xdr:col>0</xdr:col>
      <xdr:colOff>374810</xdr:colOff>
      <xdr:row>18</xdr:row>
      <xdr:rowOff>63500</xdr:rowOff>
    </xdr:from>
    <xdr:to>
      <xdr:col>1</xdr:col>
      <xdr:colOff>514510</xdr:colOff>
      <xdr:row>20</xdr:row>
      <xdr:rowOff>127000</xdr:rowOff>
    </xdr:to>
    <xdr:sp macro="" textlink="">
      <xdr:nvSpPr>
        <xdr:cNvPr id="15" name="TextBox 14">
          <a:extLst>
            <a:ext uri="{FF2B5EF4-FFF2-40B4-BE49-F238E27FC236}">
              <a16:creationId xmlns:a16="http://schemas.microsoft.com/office/drawing/2014/main" id="{80EDDDFE-8BC4-2D42-93D1-A60BB781D0C6}"/>
            </a:ext>
          </a:extLst>
        </xdr:cNvPr>
        <xdr:cNvSpPr txBox="1"/>
      </xdr:nvSpPr>
      <xdr:spPr>
        <a:xfrm>
          <a:off x="374810" y="41402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Go to database</a:t>
          </a:r>
        </a:p>
      </xdr:txBody>
    </xdr:sp>
    <xdr:clientData/>
  </xdr:twoCellAnchor>
  <xdr:twoCellAnchor editAs="oneCell">
    <xdr:from>
      <xdr:col>0</xdr:col>
      <xdr:colOff>457200</xdr:colOff>
      <xdr:row>4</xdr:row>
      <xdr:rowOff>50800</xdr:rowOff>
    </xdr:from>
    <xdr:to>
      <xdr:col>1</xdr:col>
      <xdr:colOff>444500</xdr:colOff>
      <xdr:row>7</xdr:row>
      <xdr:rowOff>25400</xdr:rowOff>
    </xdr:to>
    <xdr:pic>
      <xdr:nvPicPr>
        <xdr:cNvPr id="16" name="Picture 15">
          <a:hlinkClick xmlns:r="http://schemas.openxmlformats.org/officeDocument/2006/relationships" r:id="rId5"/>
          <a:extLst>
            <a:ext uri="{FF2B5EF4-FFF2-40B4-BE49-F238E27FC236}">
              <a16:creationId xmlns:a16="http://schemas.microsoft.com/office/drawing/2014/main" id="{42A1DB3E-B190-8046-A093-7E2BD8100EAC}"/>
            </a:ext>
          </a:extLst>
        </xdr:cNvPr>
        <xdr:cNvPicPr>
          <a:picLocks noChangeAspect="1"/>
        </xdr:cNvPicPr>
      </xdr:nvPicPr>
      <xdr:blipFill>
        <a:blip xmlns:r="http://schemas.openxmlformats.org/officeDocument/2006/relationships" r:embed="rId6"/>
        <a:stretch>
          <a:fillRect/>
        </a:stretch>
      </xdr:blipFill>
      <xdr:spPr>
        <a:xfrm>
          <a:off x="457200" y="863600"/>
          <a:ext cx="812800" cy="812800"/>
        </a:xfrm>
        <a:prstGeom prst="rect">
          <a:avLst/>
        </a:prstGeom>
      </xdr:spPr>
    </xdr:pic>
    <xdr:clientData/>
  </xdr:twoCellAnchor>
  <xdr:twoCellAnchor>
    <xdr:from>
      <xdr:col>0</xdr:col>
      <xdr:colOff>374810</xdr:colOff>
      <xdr:row>8</xdr:row>
      <xdr:rowOff>0</xdr:rowOff>
    </xdr:from>
    <xdr:to>
      <xdr:col>1</xdr:col>
      <xdr:colOff>514510</xdr:colOff>
      <xdr:row>9</xdr:row>
      <xdr:rowOff>203200</xdr:rowOff>
    </xdr:to>
    <xdr:sp macro="" textlink="">
      <xdr:nvSpPr>
        <xdr:cNvPr id="17" name="TextBox 16">
          <a:extLst>
            <a:ext uri="{FF2B5EF4-FFF2-40B4-BE49-F238E27FC236}">
              <a16:creationId xmlns:a16="http://schemas.microsoft.com/office/drawing/2014/main" id="{96304C8F-3306-0144-9D83-90F8303C01D1}"/>
            </a:ext>
          </a:extLst>
        </xdr:cNvPr>
        <xdr:cNvSpPr txBox="1"/>
      </xdr:nvSpPr>
      <xdr:spPr>
        <a:xfrm>
          <a:off x="374810" y="1854200"/>
          <a:ext cx="965200" cy="4699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Britannic Bold" panose="020B0903060703020204" pitchFamily="34" charset="77"/>
            </a:rPr>
            <a:t>Show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dee Ahmed" refreshedDate="45675.460368287037" createdVersion="8" refreshedVersion="8" minRefreshableVersion="3" recordCount="14" xr:uid="{99B19DDC-0198-F247-ADA4-71CD024EB94C}">
  <cacheSource type="worksheet">
    <worksheetSource name="Table2"/>
  </cacheSource>
  <cacheFields count="4">
    <cacheField name="Date" numFmtId="165">
      <sharedItems containsSemiMixedTypes="0" containsNonDate="0" containsDate="1" containsString="0" minDate="2024-12-16T00:00:00" maxDate="2025-01-01T00:00:00"/>
    </cacheField>
    <cacheField name="Description" numFmtId="0">
      <sharedItems/>
    </cacheField>
    <cacheField name="Wing" numFmtId="0">
      <sharedItems containsBlank="1" count="8">
        <s v="decoration"/>
        <s v="cultural"/>
        <s v="food"/>
        <s v="logistics"/>
        <s v="decoration   " u="1"/>
        <s v="cultural " u="1"/>
        <m u="1"/>
        <s v="photography" u="1"/>
      </sharedItems>
    </cacheField>
    <cacheField name="Amount" numFmtId="0">
      <sharedItems containsSemiMixedTypes="0" containsString="0" containsNumber="1" containsInteger="1" minValue="50" maxValue="19600"/>
    </cacheField>
  </cacheFields>
  <extLst>
    <ext xmlns:x14="http://schemas.microsoft.com/office/spreadsheetml/2009/9/main" uri="{725AE2AE-9491-48be-B2B4-4EB974FC3084}">
      <x14:pivotCacheDefinition pivotCacheId="8818066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dee Ahmed" refreshedDate="45675.460368402775" createdVersion="8" refreshedVersion="8" minRefreshableVersion="3" recordCount="4" xr:uid="{86847011-E05D-284E-A8F1-04B358C3E171}">
  <cacheSource type="worksheet">
    <worksheetSource name="Table1"/>
  </cacheSource>
  <cacheFields count="3">
    <cacheField name="Date" numFmtId="165">
      <sharedItems containsSemiMixedTypes="0" containsNonDate="0" containsDate="1" containsString="0" minDate="1900-01-01T00:00:00" maxDate="2025-01-01T00:00:00" count="9">
        <d v="2024-12-31T00:00:00"/>
        <d v="1930-12-28T00:00:00" u="1"/>
        <d v="2024-12-26T00:00:00" u="1"/>
        <d v="2024-12-24T00:00:00" u="1"/>
        <d v="2024-12-16T00:00:00" u="1"/>
        <d v="1900-01-08T00:00:00" u="1"/>
        <d v="1900-01-04T00:00:00" u="1"/>
        <d v="1900-01-01T00:00:00" u="1"/>
        <d v="1900-01-02T00:00:00" u="1"/>
      </sharedItems>
    </cacheField>
    <cacheField name="Description" numFmtId="14">
      <sharedItems/>
    </cacheField>
    <cacheField name="Amount" numFmtId="0">
      <sharedItems containsSemiMixedTypes="0" containsString="0" containsNumber="1" containsInteger="1" minValue="4050" maxValue="20000"/>
    </cacheField>
  </cacheFields>
  <extLst>
    <ext xmlns:x14="http://schemas.microsoft.com/office/spreadsheetml/2009/9/main" uri="{725AE2AE-9491-48be-B2B4-4EB974FC3084}">
      <x14:pivotCacheDefinition pivotCacheId="6127175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d v="2024-12-16T00:00:00"/>
    <s v="Auditorium"/>
    <x v="0"/>
    <n v="2500"/>
  </r>
  <r>
    <d v="2024-12-26T00:00:00"/>
    <s v="cultural (practice food)"/>
    <x v="1"/>
    <n v="200"/>
  </r>
  <r>
    <d v="2024-12-27T00:00:00"/>
    <s v="band "/>
    <x v="1"/>
    <n v="3000"/>
  </r>
  <r>
    <d v="2024-12-28T00:00:00"/>
    <s v="cultural practice food"/>
    <x v="1"/>
    <n v="150"/>
  </r>
  <r>
    <d v="2024-12-29T00:00:00"/>
    <s v="Gifts (keyring 20*100)_x000a_(pad 40*100) "/>
    <x v="0"/>
    <n v="6000"/>
  </r>
  <r>
    <d v="2024-12-31T00:00:00"/>
    <s v="Sound + light"/>
    <x v="1"/>
    <n v="14000"/>
  </r>
  <r>
    <d v="2024-12-31T00:00:00"/>
    <s v="food+ food wing transportation"/>
    <x v="2"/>
    <n v="19600"/>
  </r>
  <r>
    <d v="2024-12-31T00:00:00"/>
    <s v="Crest"/>
    <x v="0"/>
    <n v="500"/>
  </r>
  <r>
    <d v="2024-12-31T00:00:00"/>
    <s v="DECORATION + Banner"/>
    <x v="0"/>
    <n v="11870"/>
  </r>
  <r>
    <d v="2024-12-31T00:00:00"/>
    <s v="TSC Tips"/>
    <x v="3"/>
    <n v="700"/>
  </r>
  <r>
    <d v="2024-12-31T00:00:00"/>
    <s v="Guest food + flower"/>
    <x v="1"/>
    <n v="1200"/>
  </r>
  <r>
    <d v="2024-12-31T00:00:00"/>
    <s v="Transportation cost for full event"/>
    <x v="3"/>
    <n v="390"/>
  </r>
  <r>
    <d v="2024-12-31T00:00:00"/>
    <s v="Others"/>
    <x v="0"/>
    <n v="300"/>
  </r>
  <r>
    <d v="2024-12-31T00:00:00"/>
    <s v="Cashbook"/>
    <x v="3"/>
    <n v="5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s v="Tahmid Sponsor"/>
    <n v="20000"/>
  </r>
  <r>
    <x v="0"/>
    <s v="Adib &amp; friends"/>
    <n v="19800"/>
  </r>
  <r>
    <x v="0"/>
    <s v="Others"/>
    <n v="19040"/>
  </r>
  <r>
    <x v="0"/>
    <s v="Isfar Collection"/>
    <n v="40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7D0E8C-7D17-0E4B-8158-623146FF0AC1}" name="PivotTable3"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fieldListSortAscending="1">
  <location ref="E1:F3" firstHeaderRow="1" firstDataRow="1" firstDataCol="1"/>
  <pivotFields count="3">
    <pivotField axis="axisRow" numFmtId="14" showAll="0">
      <items count="10">
        <item m="1" x="7"/>
        <item m="1" x="8"/>
        <item m="1" x="6"/>
        <item m="1" x="5"/>
        <item m="1" x="2"/>
        <item m="1" x="4"/>
        <item m="1" x="1"/>
        <item m="1" x="3"/>
        <item x="0"/>
        <item t="default"/>
      </items>
    </pivotField>
    <pivotField showAll="0" measureFilter="1"/>
    <pivotField dataField="1" showAll="0"/>
  </pivotFields>
  <rowFields count="1">
    <field x="0"/>
  </rowFields>
  <rowItems count="2">
    <i>
      <x v="8"/>
    </i>
    <i t="grand">
      <x/>
    </i>
  </rowItems>
  <colItems count="1">
    <i/>
  </colItems>
  <dataFields count="1">
    <dataField name="Sum of Amount" fld="2" baseField="0" baseItem="0"/>
  </dataFields>
  <pivotTableStyleInfo name="PivotStyleLight15" showRowHeaders="1" showColHeaders="1" showRowStripes="1" showColStripes="0" showLastColumn="1"/>
  <filters count="1">
    <filter fld="1" type="count" evalOrder="-1" id="1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29B6E2-5041-8E4B-BEF5-1F1480D0E10E}" name="wing wise expens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B6" firstHeaderRow="1" firstDataRow="1" firstDataCol="1"/>
  <pivotFields count="4">
    <pivotField numFmtId="14" showAll="0"/>
    <pivotField showAll="0"/>
    <pivotField axis="axisRow" showAll="0">
      <items count="9">
        <item x="1"/>
        <item x="0"/>
        <item x="2"/>
        <item m="1" x="7"/>
        <item m="1" x="6"/>
        <item x="3"/>
        <item m="1" x="5"/>
        <item m="1" x="4"/>
        <item t="default"/>
      </items>
    </pivotField>
    <pivotField dataField="1" showAll="0"/>
  </pivotFields>
  <rowFields count="1">
    <field x="2"/>
  </rowFields>
  <rowItems count="5">
    <i>
      <x/>
    </i>
    <i>
      <x v="1"/>
    </i>
    <i>
      <x v="2"/>
    </i>
    <i>
      <x v="5"/>
    </i>
    <i t="grand">
      <x/>
    </i>
  </rowItems>
  <colItems count="1">
    <i/>
  </colItems>
  <dataFields count="1">
    <dataField name="Sum of Amount" fld="3" baseField="0" baseItem="0"/>
  </dataFields>
  <chartFormats count="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2" count="1" selected="0">
            <x v="0"/>
          </reference>
        </references>
      </pivotArea>
    </chartFormat>
    <chartFormat chart="2" format="12">
      <pivotArea type="data" outline="0" fieldPosition="0">
        <references count="2">
          <reference field="4294967294" count="1" selected="0">
            <x v="0"/>
          </reference>
          <reference field="2" count="1" selected="0">
            <x v="1"/>
          </reference>
        </references>
      </pivotArea>
    </chartFormat>
    <chartFormat chart="2" format="13">
      <pivotArea type="data" outline="0" fieldPosition="0">
        <references count="2">
          <reference field="4294967294" count="1" selected="0">
            <x v="0"/>
          </reference>
          <reference field="2" count="1" selected="0">
            <x v="2"/>
          </reference>
        </references>
      </pivotArea>
    </chartFormat>
    <chartFormat chart="2" format="14">
      <pivotArea type="data" outline="0" fieldPosition="0">
        <references count="2">
          <reference field="4294967294" count="1" selected="0">
            <x v="0"/>
          </reference>
          <reference field="2" count="1" selected="0">
            <x v="3"/>
          </reference>
        </references>
      </pivotArea>
    </chartFormat>
    <chartFormat chart="2" format="15">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g" xr10:uid="{ECE21156-EDC3-BD4A-9941-F34F881ECCB8}" sourceName="Wing">
  <pivotTables>
    <pivotTable tabId="4" name="wing wise expense"/>
  </pivotTables>
  <data>
    <tabular pivotCacheId="88180662">
      <items count="8">
        <i x="1" s="1"/>
        <i x="0" s="1"/>
        <i x="2" s="1"/>
        <i x="3" s="1"/>
        <i x="5" s="1" nd="1"/>
        <i x="4" s="1" nd="1"/>
        <i x="7"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ing" xr10:uid="{2CC136DC-1958-5444-974A-C91F01D913EB}" cache="Slicer_Wing" caption="Wing" style="SlicerStyleOther2" rowHeight="7315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A38133B-D568-7648-8409-5180F26A828B}" name="Table4" displayName="Table4" ref="C2:H22" totalsRowShown="0" headerRowDxfId="25" dataDxfId="24">
  <autoFilter ref="C2:H22" xr:uid="{DA38133B-D568-7648-8409-5180F26A828B}">
    <filterColumn colId="0" hiddenButton="1"/>
    <filterColumn colId="1" hiddenButton="1"/>
    <filterColumn colId="2" hiddenButton="1"/>
    <filterColumn colId="3" hiddenButton="1"/>
    <filterColumn colId="4" hiddenButton="1"/>
    <filterColumn colId="5" hiddenButton="1"/>
  </autoFilter>
  <tableColumns count="6">
    <tableColumn id="1" xr3:uid="{DC597879-2C91-9245-89A7-2C65DD46599B}" name="Decoration (Girls) " dataDxfId="23"/>
    <tableColumn id="2" xr3:uid="{3FCCBC4D-8E07-3D42-A2E3-CAEE31D0C0C7}" name="Decoration (Boys) " dataDxfId="22"/>
    <tableColumn id="3" xr3:uid="{A2C2E9D4-27FB-394A-BAB9-7803452F9AB1}" name="LOGISTICS" dataDxfId="21"/>
    <tableColumn id="4" xr3:uid="{7F8976E0-EF34-C946-BE1B-927136260975}" name="FOOD" dataDxfId="20"/>
    <tableColumn id="5" xr3:uid="{AF6DEE76-8AB6-5B47-A985-02ADBADDF242}" name="ACCOUNTS" dataDxfId="19"/>
    <tableColumn id="6" xr3:uid="{E17A865A-0D14-7947-8874-9B2D51D16D08}" name="CULTURAL" dataDxfId="18"/>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685A7A-B71A-9241-8D5A-1444DDB005D0}" name="Table1" displayName="Table1" ref="A2:C6" totalsRowShown="0" headerRowDxfId="17" dataDxfId="16">
  <autoFilter ref="A2:C6" xr:uid="{CF685A7A-B71A-9241-8D5A-1444DDB005D0}">
    <filterColumn colId="0" hiddenButton="1"/>
    <filterColumn colId="1" hiddenButton="1"/>
    <filterColumn colId="2" hiddenButton="1"/>
  </autoFilter>
  <sortState xmlns:xlrd2="http://schemas.microsoft.com/office/spreadsheetml/2017/richdata2" ref="A3:C6">
    <sortCondition descending="1" ref="C2:C6"/>
  </sortState>
  <tableColumns count="3">
    <tableColumn id="1" xr3:uid="{0DB6914D-EF06-A147-BCD7-4C949462A82D}" name="Date" dataDxfId="15"/>
    <tableColumn id="2" xr3:uid="{60E6CCCB-1886-CC4B-9A06-F78198A588F5}" name="Description" dataDxfId="14"/>
    <tableColumn id="3" xr3:uid="{E0134D4B-DFBB-1348-829C-D471999394BA}" name="Amount" dataDxfId="1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BDACD7-34FB-F64A-8A30-39CAB2C3F7CF}" name="Table2" displayName="Table2" ref="D2:G16" headerRowDxfId="12" dataDxfId="10" headerRowBorderDxfId="11">
  <autoFilter ref="D2:G16" xr:uid="{45BDACD7-34FB-F64A-8A30-39CAB2C3F7CF}">
    <filterColumn colId="0" hiddenButton="1"/>
    <filterColumn colId="1" hiddenButton="1"/>
    <filterColumn colId="2" hiddenButton="1"/>
    <filterColumn colId="3" hiddenButton="1"/>
  </autoFilter>
  <sortState xmlns:xlrd2="http://schemas.microsoft.com/office/spreadsheetml/2017/richdata2" ref="D3:G16">
    <sortCondition ref="D2:D16"/>
  </sortState>
  <tableColumns count="4">
    <tableColumn id="1" xr3:uid="{8AEF1D1F-BA90-654B-9FCD-D25A83C42C58}" name="Date" totalsRowLabel="Total" dataDxfId="9" totalsRowDxfId="8"/>
    <tableColumn id="2" xr3:uid="{C2A47B24-811D-7240-A89E-042F11281748}" name="Description" dataDxfId="7" totalsRowDxfId="6"/>
    <tableColumn id="3" xr3:uid="{8674E528-F80D-754A-A4AB-BFFDD496C865}" name="Wing" dataDxfId="5" totalsRowDxfId="4"/>
    <tableColumn id="4" xr3:uid="{F05F94A6-1371-F14A-9812-5F27CC7B3287}" name="Amount" totalsRowFunction="count" dataDxfId="3" totalsRow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22EA8-FD2A-924D-8383-EB9DB298B074}">
  <sheetPr codeName="Sheet1">
    <tabColor theme="9" tint="-0.249977111117893"/>
  </sheetPr>
  <dimension ref="A1:A2"/>
  <sheetViews>
    <sheetView showGridLines="0" tabSelected="1" topLeftCell="A3" zoomScaleNormal="100" workbookViewId="0"/>
  </sheetViews>
  <sheetFormatPr baseColWidth="10" defaultRowHeight="16"/>
  <sheetData>
    <row r="1" hidden="1"/>
    <row r="2" hidden="1"/>
  </sheetData>
  <sheetProtection selectLockedCells="1" selectUnlockedCells="1"/>
  <pageMargins left="0.7" right="0.7" top="0.75" bottom="0.75" header="0.3" footer="0.3"/>
  <pageSetup orientation="portrait"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7D1B8-B787-F141-8DEE-E68215AE92BD}">
  <sheetPr codeName="Sheet5"/>
  <dimension ref="A1:K22"/>
  <sheetViews>
    <sheetView showGridLines="0" workbookViewId="0"/>
  </sheetViews>
  <sheetFormatPr baseColWidth="10" defaultRowHeight="16"/>
  <cols>
    <col min="1" max="1" width="12.1640625" bestFit="1" customWidth="1"/>
    <col min="2" max="3" width="19" bestFit="1" customWidth="1"/>
    <col min="4" max="4" width="16.5" bestFit="1" customWidth="1"/>
    <col min="5" max="5" width="13.5" bestFit="1" customWidth="1"/>
    <col min="6" max="6" width="14.6640625" customWidth="1"/>
    <col min="7" max="7" width="10" hidden="1" customWidth="1"/>
    <col min="8" max="8" width="0.1640625" hidden="1" customWidth="1"/>
    <col min="9" max="9" width="8.83203125" customWidth="1"/>
    <col min="10" max="10" width="19.5" bestFit="1" customWidth="1"/>
    <col min="11" max="11" width="17.5" bestFit="1" customWidth="1"/>
    <col min="12" max="12" width="6.5" bestFit="1" customWidth="1"/>
    <col min="13" max="13" width="15.1640625" bestFit="1" customWidth="1"/>
    <col min="14" max="14" width="13.1640625" bestFit="1" customWidth="1"/>
  </cols>
  <sheetData>
    <row r="1" spans="1:11" ht="29">
      <c r="C1" s="29" t="s">
        <v>25</v>
      </c>
      <c r="D1" s="29"/>
      <c r="E1" s="29"/>
      <c r="F1" s="29"/>
      <c r="G1" s="17"/>
      <c r="H1" s="17"/>
      <c r="J1" s="15" t="s">
        <v>25</v>
      </c>
      <c r="K1" s="15" t="s">
        <v>30</v>
      </c>
    </row>
    <row r="2" spans="1:11" ht="19">
      <c r="C2" s="16" t="s">
        <v>73</v>
      </c>
      <c r="D2" s="16" t="s">
        <v>74</v>
      </c>
      <c r="E2" s="16" t="s">
        <v>26</v>
      </c>
      <c r="F2" s="16" t="s">
        <v>27</v>
      </c>
      <c r="G2" s="16" t="s">
        <v>28</v>
      </c>
      <c r="H2" s="16" t="s">
        <v>29</v>
      </c>
      <c r="J2" s="18" t="s">
        <v>73</v>
      </c>
      <c r="K2" s="19" t="s">
        <v>31</v>
      </c>
    </row>
    <row r="3" spans="1:11" ht="19">
      <c r="C3" s="14" t="s">
        <v>45</v>
      </c>
      <c r="D3" s="14" t="s">
        <v>36</v>
      </c>
      <c r="E3" s="14" t="s">
        <v>65</v>
      </c>
      <c r="F3" s="14" t="s">
        <v>44</v>
      </c>
      <c r="G3" s="14"/>
      <c r="H3" s="14"/>
      <c r="J3" s="18" t="s">
        <v>74</v>
      </c>
      <c r="K3" s="20" t="s">
        <v>75</v>
      </c>
    </row>
    <row r="4" spans="1:11" ht="19">
      <c r="A4" s="14"/>
      <c r="C4" s="14" t="s">
        <v>37</v>
      </c>
      <c r="D4" s="14" t="s">
        <v>61</v>
      </c>
      <c r="E4" s="14" t="s">
        <v>66</v>
      </c>
      <c r="F4" s="14" t="s">
        <v>38</v>
      </c>
      <c r="G4" s="14"/>
      <c r="H4" s="14"/>
      <c r="J4" s="18" t="s">
        <v>26</v>
      </c>
      <c r="K4" s="20" t="s">
        <v>32</v>
      </c>
    </row>
    <row r="5" spans="1:11" ht="19">
      <c r="A5" s="14"/>
      <c r="C5" s="14" t="s">
        <v>46</v>
      </c>
      <c r="D5" s="14" t="s">
        <v>62</v>
      </c>
      <c r="E5" s="14" t="s">
        <v>67</v>
      </c>
      <c r="F5" s="14" t="s">
        <v>39</v>
      </c>
      <c r="G5" s="14"/>
      <c r="H5" s="14"/>
      <c r="J5" s="18" t="s">
        <v>27</v>
      </c>
      <c r="K5" s="20" t="s">
        <v>33</v>
      </c>
    </row>
    <row r="6" spans="1:11" ht="19">
      <c r="A6" s="14"/>
      <c r="C6" s="14" t="s">
        <v>40</v>
      </c>
      <c r="D6" s="14" t="s">
        <v>63</v>
      </c>
      <c r="E6" s="14" t="s">
        <v>68</v>
      </c>
      <c r="F6" s="14" t="s">
        <v>43</v>
      </c>
      <c r="G6" s="14"/>
      <c r="H6" s="14"/>
      <c r="J6" s="18" t="s">
        <v>28</v>
      </c>
      <c r="K6" s="20" t="s">
        <v>34</v>
      </c>
    </row>
    <row r="7" spans="1:11" ht="19">
      <c r="A7" s="14"/>
      <c r="C7" s="14" t="s">
        <v>47</v>
      </c>
      <c r="D7" s="14" t="s">
        <v>64</v>
      </c>
      <c r="E7" s="14" t="s">
        <v>69</v>
      </c>
      <c r="F7" s="14" t="s">
        <v>41</v>
      </c>
      <c r="G7" s="14"/>
      <c r="H7" s="14"/>
      <c r="J7" s="18" t="s">
        <v>29</v>
      </c>
      <c r="K7" s="20" t="s">
        <v>35</v>
      </c>
    </row>
    <row r="8" spans="1:11">
      <c r="A8" s="14"/>
      <c r="C8" s="14" t="s">
        <v>48</v>
      </c>
      <c r="D8" s="14" t="s">
        <v>64</v>
      </c>
      <c r="E8" s="14" t="s">
        <v>70</v>
      </c>
      <c r="F8" s="14"/>
      <c r="G8" s="14"/>
      <c r="H8" s="14"/>
    </row>
    <row r="9" spans="1:11">
      <c r="A9" s="14"/>
      <c r="C9" s="14" t="s">
        <v>49</v>
      </c>
      <c r="D9" s="14" t="s">
        <v>64</v>
      </c>
      <c r="E9" s="14" t="s">
        <v>42</v>
      </c>
      <c r="F9" s="14"/>
      <c r="G9" s="14"/>
      <c r="H9" s="14"/>
    </row>
    <row r="10" spans="1:11">
      <c r="A10" s="14"/>
      <c r="C10" s="14" t="s">
        <v>50</v>
      </c>
      <c r="D10" s="14" t="s">
        <v>64</v>
      </c>
      <c r="E10" s="14" t="s">
        <v>71</v>
      </c>
      <c r="F10" s="14"/>
      <c r="G10" s="14"/>
      <c r="H10" s="14"/>
    </row>
    <row r="11" spans="1:11">
      <c r="A11" s="14"/>
      <c r="C11" s="14" t="s">
        <v>51</v>
      </c>
      <c r="D11" s="14" t="s">
        <v>64</v>
      </c>
      <c r="E11" s="14" t="s">
        <v>72</v>
      </c>
      <c r="F11" s="14"/>
      <c r="G11" s="14"/>
      <c r="H11" s="14"/>
    </row>
    <row r="12" spans="1:11">
      <c r="A12" s="14"/>
      <c r="C12" s="14" t="s">
        <v>52</v>
      </c>
      <c r="D12" s="14" t="s">
        <v>64</v>
      </c>
      <c r="E12" s="14"/>
      <c r="F12" s="14"/>
      <c r="G12" s="14"/>
      <c r="H12" s="14"/>
    </row>
    <row r="13" spans="1:11">
      <c r="A13" s="14"/>
      <c r="C13" s="14" t="s">
        <v>53</v>
      </c>
      <c r="D13" s="14" t="s">
        <v>64</v>
      </c>
      <c r="E13" s="14"/>
      <c r="F13" s="14"/>
      <c r="G13" s="14"/>
      <c r="H13" s="14"/>
    </row>
    <row r="14" spans="1:11">
      <c r="A14" s="14"/>
      <c r="C14" s="14" t="s">
        <v>54</v>
      </c>
      <c r="D14" s="14" t="s">
        <v>64</v>
      </c>
      <c r="E14" s="14"/>
      <c r="F14" s="14"/>
      <c r="G14" s="14"/>
      <c r="H14" s="14"/>
    </row>
    <row r="15" spans="1:11">
      <c r="A15" s="14"/>
      <c r="C15" s="14" t="s">
        <v>55</v>
      </c>
      <c r="D15" s="14" t="s">
        <v>64</v>
      </c>
      <c r="E15" s="14"/>
      <c r="F15" s="14"/>
      <c r="G15" s="14"/>
      <c r="H15" s="14"/>
    </row>
    <row r="16" spans="1:11">
      <c r="A16" s="14"/>
      <c r="C16" s="14" t="s">
        <v>56</v>
      </c>
      <c r="D16" s="14" t="s">
        <v>64</v>
      </c>
      <c r="E16" s="14"/>
      <c r="F16" s="14"/>
      <c r="G16" s="14"/>
      <c r="H16" s="14"/>
    </row>
    <row r="17" spans="1:8">
      <c r="A17" s="14"/>
      <c r="C17" s="14" t="s">
        <v>57</v>
      </c>
      <c r="D17" s="14" t="s">
        <v>64</v>
      </c>
      <c r="E17" s="14"/>
      <c r="F17" s="14"/>
      <c r="G17" s="14"/>
      <c r="H17" s="14"/>
    </row>
    <row r="18" spans="1:8">
      <c r="A18" s="14"/>
      <c r="C18" s="14" t="s">
        <v>58</v>
      </c>
      <c r="D18" s="14" t="s">
        <v>64</v>
      </c>
      <c r="E18" s="14"/>
      <c r="F18" s="14"/>
      <c r="G18" s="14"/>
      <c r="H18" s="14"/>
    </row>
    <row r="19" spans="1:8">
      <c r="A19" s="14"/>
      <c r="C19" s="14" t="s">
        <v>52</v>
      </c>
      <c r="D19" s="14" t="s">
        <v>64</v>
      </c>
      <c r="E19" s="14"/>
      <c r="F19" s="14"/>
      <c r="G19" s="14"/>
      <c r="H19" s="14"/>
    </row>
    <row r="20" spans="1:8">
      <c r="A20" s="14"/>
      <c r="C20" s="14" t="s">
        <v>59</v>
      </c>
      <c r="D20" s="14" t="s">
        <v>64</v>
      </c>
      <c r="E20" s="14"/>
      <c r="F20" s="14"/>
      <c r="G20" s="14"/>
      <c r="H20" s="14"/>
    </row>
    <row r="21" spans="1:8">
      <c r="A21" s="14"/>
      <c r="C21" s="14" t="s">
        <v>60</v>
      </c>
      <c r="D21" t="s">
        <v>64</v>
      </c>
      <c r="E21" s="14"/>
      <c r="F21" s="14"/>
      <c r="G21" s="14"/>
      <c r="H21" s="14"/>
    </row>
    <row r="22" spans="1:8">
      <c r="A22" s="14"/>
      <c r="C22" s="14" t="s">
        <v>76</v>
      </c>
      <c r="D22" s="14"/>
      <c r="E22" s="14"/>
      <c r="F22" s="14"/>
      <c r="G22" s="14"/>
      <c r="H22" s="14"/>
    </row>
  </sheetData>
  <sheetProtection selectLockedCells="1" selectUnlockedCells="1"/>
  <mergeCells count="1">
    <mergeCell ref="C1:F1"/>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9AE46-478B-BC43-80FC-E1FA675E3E0E}">
  <sheetPr codeName="Sheet2">
    <tabColor rgb="FFFF0000"/>
  </sheetPr>
  <dimension ref="A1:G16"/>
  <sheetViews>
    <sheetView showGridLines="0" zoomScaleNormal="100" workbookViewId="0">
      <selection sqref="A1:C1"/>
    </sheetView>
  </sheetViews>
  <sheetFormatPr baseColWidth="10" defaultRowHeight="16"/>
  <cols>
    <col min="1" max="1" width="23" style="23" bestFit="1" customWidth="1"/>
    <col min="2" max="2" width="34.83203125" style="24" customWidth="1"/>
    <col min="3" max="3" width="17.33203125" style="24" customWidth="1"/>
    <col min="4" max="4" width="28.1640625" style="23" customWidth="1"/>
    <col min="5" max="5" width="29.5" style="24" customWidth="1"/>
    <col min="6" max="6" width="15.1640625" style="24" customWidth="1"/>
    <col min="7" max="7" width="15.6640625" style="24" bestFit="1" customWidth="1"/>
    <col min="8" max="8" width="29" customWidth="1"/>
    <col min="9" max="9" width="20.1640625" customWidth="1"/>
    <col min="10" max="10" width="14.5" customWidth="1"/>
    <col min="11" max="11" width="16.33203125" bestFit="1" customWidth="1"/>
    <col min="12" max="12" width="12.83203125" bestFit="1" customWidth="1"/>
  </cols>
  <sheetData>
    <row r="1" spans="1:7" ht="29">
      <c r="A1" s="30" t="s">
        <v>3</v>
      </c>
      <c r="B1" s="30"/>
      <c r="C1" s="30"/>
      <c r="D1" s="31" t="s">
        <v>5</v>
      </c>
      <c r="E1" s="30"/>
      <c r="F1" s="30"/>
      <c r="G1" s="30"/>
    </row>
    <row r="2" spans="1:7" ht="24">
      <c r="A2" s="21" t="s">
        <v>0</v>
      </c>
      <c r="B2" s="3" t="s">
        <v>1</v>
      </c>
      <c r="C2" s="3" t="s">
        <v>2</v>
      </c>
      <c r="D2" s="4" t="s">
        <v>0</v>
      </c>
      <c r="E2" s="4" t="s">
        <v>1</v>
      </c>
      <c r="F2" s="4" t="s">
        <v>4</v>
      </c>
      <c r="G2" s="5" t="s">
        <v>2</v>
      </c>
    </row>
    <row r="3" spans="1:7" ht="21">
      <c r="A3" s="25">
        <v>45657</v>
      </c>
      <c r="B3" s="26" t="s">
        <v>90</v>
      </c>
      <c r="C3" s="27">
        <v>20000</v>
      </c>
      <c r="D3" s="25">
        <v>45642</v>
      </c>
      <c r="E3" s="27" t="s">
        <v>24</v>
      </c>
      <c r="F3" s="27" t="s">
        <v>14</v>
      </c>
      <c r="G3" s="27">
        <v>2500</v>
      </c>
    </row>
    <row r="4" spans="1:7" ht="22">
      <c r="A4" s="25">
        <v>45657</v>
      </c>
      <c r="B4" s="26" t="s">
        <v>91</v>
      </c>
      <c r="C4" s="27">
        <v>19800</v>
      </c>
      <c r="D4" s="25">
        <v>45652</v>
      </c>
      <c r="E4" s="28" t="s">
        <v>78</v>
      </c>
      <c r="F4" s="27" t="s">
        <v>15</v>
      </c>
      <c r="G4" s="27">
        <v>200</v>
      </c>
    </row>
    <row r="5" spans="1:7" ht="22">
      <c r="A5" s="25">
        <v>45657</v>
      </c>
      <c r="B5" s="26" t="s">
        <v>88</v>
      </c>
      <c r="C5" s="27">
        <v>19040</v>
      </c>
      <c r="D5" s="25">
        <v>45653</v>
      </c>
      <c r="E5" s="28" t="s">
        <v>80</v>
      </c>
      <c r="F5" s="27" t="s">
        <v>15</v>
      </c>
      <c r="G5" s="27">
        <v>3000</v>
      </c>
    </row>
    <row r="6" spans="1:7" ht="22">
      <c r="A6" s="25">
        <v>45657</v>
      </c>
      <c r="B6" s="26" t="s">
        <v>92</v>
      </c>
      <c r="C6" s="27">
        <v>4050</v>
      </c>
      <c r="D6" s="25">
        <v>45654</v>
      </c>
      <c r="E6" s="28" t="s">
        <v>79</v>
      </c>
      <c r="F6" s="27" t="s">
        <v>15</v>
      </c>
      <c r="G6" s="27">
        <v>150</v>
      </c>
    </row>
    <row r="7" spans="1:7" ht="47" customHeight="1">
      <c r="D7" s="25">
        <v>45655</v>
      </c>
      <c r="E7" s="28" t="s">
        <v>77</v>
      </c>
      <c r="F7" s="27" t="s">
        <v>14</v>
      </c>
      <c r="G7" s="27">
        <v>6000</v>
      </c>
    </row>
    <row r="8" spans="1:7" ht="22">
      <c r="D8" s="25">
        <v>45657</v>
      </c>
      <c r="E8" s="28" t="s">
        <v>81</v>
      </c>
      <c r="F8" s="27" t="s">
        <v>8</v>
      </c>
      <c r="G8" s="27">
        <v>14000</v>
      </c>
    </row>
    <row r="9" spans="1:7" ht="44">
      <c r="D9" s="25">
        <v>45657</v>
      </c>
      <c r="E9" s="28" t="s">
        <v>82</v>
      </c>
      <c r="F9" s="27" t="s">
        <v>13</v>
      </c>
      <c r="G9" s="27">
        <v>19600</v>
      </c>
    </row>
    <row r="10" spans="1:7" ht="22">
      <c r="D10" s="25">
        <v>45657</v>
      </c>
      <c r="E10" s="28" t="s">
        <v>83</v>
      </c>
      <c r="F10" s="27" t="s">
        <v>14</v>
      </c>
      <c r="G10" s="27">
        <v>500</v>
      </c>
    </row>
    <row r="11" spans="1:7" ht="22">
      <c r="D11" s="25">
        <v>45657</v>
      </c>
      <c r="E11" s="28" t="s">
        <v>84</v>
      </c>
      <c r="F11" s="27" t="s">
        <v>14</v>
      </c>
      <c r="G11" s="27">
        <v>11870</v>
      </c>
    </row>
    <row r="12" spans="1:7" ht="22">
      <c r="D12" s="25">
        <v>45657</v>
      </c>
      <c r="E12" s="28" t="s">
        <v>85</v>
      </c>
      <c r="F12" s="27" t="s">
        <v>16</v>
      </c>
      <c r="G12" s="27">
        <v>700</v>
      </c>
    </row>
    <row r="13" spans="1:7" ht="22">
      <c r="D13" s="25">
        <v>45657</v>
      </c>
      <c r="E13" s="28" t="s">
        <v>86</v>
      </c>
      <c r="F13" s="27" t="s">
        <v>15</v>
      </c>
      <c r="G13" s="27">
        <v>1200</v>
      </c>
    </row>
    <row r="14" spans="1:7" ht="44">
      <c r="D14" s="25">
        <v>45657</v>
      </c>
      <c r="E14" s="28" t="s">
        <v>87</v>
      </c>
      <c r="F14" s="27" t="s">
        <v>16</v>
      </c>
      <c r="G14" s="27">
        <v>390</v>
      </c>
    </row>
    <row r="15" spans="1:7" ht="22">
      <c r="D15" s="25">
        <v>45657</v>
      </c>
      <c r="E15" s="28" t="s">
        <v>88</v>
      </c>
      <c r="F15" s="27" t="s">
        <v>14</v>
      </c>
      <c r="G15" s="27">
        <v>300</v>
      </c>
    </row>
    <row r="16" spans="1:7" ht="22">
      <c r="D16" s="25">
        <v>45657</v>
      </c>
      <c r="E16" s="28" t="s">
        <v>89</v>
      </c>
      <c r="F16" s="27" t="s">
        <v>16</v>
      </c>
      <c r="G16" s="27">
        <v>50</v>
      </c>
    </row>
  </sheetData>
  <sheetProtection selectLockedCells="1" selectUnlockedCells="1"/>
  <mergeCells count="2">
    <mergeCell ref="A1:C1"/>
    <mergeCell ref="D1:G1"/>
  </mergeCells>
  <phoneticPr fontId="5" type="noConversion"/>
  <dataValidations count="1">
    <dataValidation type="custom" allowBlank="1" showInputMessage="1" showErrorMessage="1" error="Incorrect_x000a_" promptTitle="Select Wing" sqref="F3:F7" xr:uid="{80695ECB-0151-4C44-82FA-ADBB2D457916}">
      <formula1>OR(F3="cultural", F3="decoration", F3="food", F3="logistics", F3="photography")</formula1>
    </dataValidation>
  </dataValidations>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47D8-7F8F-3C41-835A-F81124A0D83B}">
  <sheetPr codeName="Sheet3"/>
  <dimension ref="D5:XEW1048572"/>
  <sheetViews>
    <sheetView showGridLines="0" zoomScaleNormal="100" workbookViewId="0">
      <selection activeCell="E9" sqref="E9"/>
    </sheetView>
  </sheetViews>
  <sheetFormatPr baseColWidth="10" defaultRowHeight="16"/>
  <cols>
    <col min="4" max="4" width="26.83203125" customWidth="1"/>
    <col min="5" max="5" width="18.33203125" customWidth="1"/>
    <col min="6" max="6" width="15.33203125" customWidth="1"/>
    <col min="9" max="9" width="22.83203125" customWidth="1"/>
    <col min="10" max="10" width="25" customWidth="1"/>
    <col min="12" max="12" width="11.5" bestFit="1" customWidth="1"/>
    <col min="13" max="13" width="16.33203125" bestFit="1" customWidth="1"/>
  </cols>
  <sheetData>
    <row r="5" spans="4:13" ht="21">
      <c r="E5" s="6"/>
    </row>
    <row r="6" spans="4:13" ht="24">
      <c r="D6" s="32" t="s">
        <v>3</v>
      </c>
      <c r="E6" s="32"/>
      <c r="I6" s="32" t="s">
        <v>5</v>
      </c>
      <c r="J6" s="32"/>
      <c r="M6" s="8" t="s">
        <v>4</v>
      </c>
    </row>
    <row r="7" spans="4:13" ht="21">
      <c r="D7" s="2" t="s">
        <v>12</v>
      </c>
      <c r="E7" s="6"/>
      <c r="F7" s="6"/>
      <c r="I7" s="2" t="s">
        <v>11</v>
      </c>
      <c r="J7" s="6"/>
      <c r="M7" s="7" t="s">
        <v>15</v>
      </c>
    </row>
    <row r="8" spans="4:13" ht="21">
      <c r="D8" s="2" t="s">
        <v>1</v>
      </c>
      <c r="E8" s="6"/>
      <c r="I8" s="2" t="s">
        <v>1</v>
      </c>
      <c r="J8" s="22"/>
      <c r="M8" s="7" t="s">
        <v>14</v>
      </c>
    </row>
    <row r="9" spans="4:13" ht="21">
      <c r="D9" s="2" t="s">
        <v>2</v>
      </c>
      <c r="E9" s="5"/>
      <c r="I9" s="2" t="s">
        <v>4</v>
      </c>
      <c r="J9" s="5"/>
      <c r="M9" s="7" t="s">
        <v>13</v>
      </c>
    </row>
    <row r="10" spans="4:13" ht="21">
      <c r="I10" s="2" t="s">
        <v>2</v>
      </c>
      <c r="J10" s="5"/>
      <c r="M10" s="7" t="s">
        <v>16</v>
      </c>
    </row>
    <row r="11" spans="4:13" ht="21">
      <c r="M11" s="7" t="s">
        <v>17</v>
      </c>
    </row>
    <row r="1048568" spans="16377:16377" ht="20">
      <c r="XEW1048568" s="1" t="s">
        <v>6</v>
      </c>
    </row>
    <row r="1048569" spans="16377:16377" ht="20">
      <c r="XEW1048569" s="1" t="s">
        <v>7</v>
      </c>
    </row>
    <row r="1048570" spans="16377:16377" ht="20">
      <c r="XEW1048570" s="1" t="s">
        <v>8</v>
      </c>
    </row>
    <row r="1048571" spans="16377:16377" ht="20">
      <c r="XEW1048571" s="1" t="s">
        <v>9</v>
      </c>
    </row>
    <row r="1048572" spans="16377:16377" ht="20">
      <c r="XEW1048572" s="1" t="s">
        <v>10</v>
      </c>
    </row>
  </sheetData>
  <sheetProtection selectLockedCells="1" selectUnlockedCells="1"/>
  <sortState xmlns:xlrd2="http://schemas.microsoft.com/office/spreadsheetml/2017/richdata2" ref="M7:M11">
    <sortCondition ref="M7:M11"/>
  </sortState>
  <mergeCells count="2">
    <mergeCell ref="D6:E6"/>
    <mergeCell ref="I6:J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AF98A-ADBC-D043-A478-30B143796862}">
  <sheetPr codeName="Sheet4"/>
  <dimension ref="A1:F20"/>
  <sheetViews>
    <sheetView showGridLines="0" zoomScale="101" workbookViewId="0">
      <selection activeCell="F5" sqref="F5:F6"/>
    </sheetView>
  </sheetViews>
  <sheetFormatPr baseColWidth="10" defaultRowHeight="16"/>
  <cols>
    <col min="1" max="1" width="13" bestFit="1" customWidth="1"/>
    <col min="2" max="2" width="14" bestFit="1" customWidth="1"/>
    <col min="4" max="5" width="13" bestFit="1" customWidth="1"/>
    <col min="6" max="6" width="14" bestFit="1" customWidth="1"/>
    <col min="7" max="7" width="12.5" bestFit="1" customWidth="1"/>
    <col min="8" max="8" width="5.1640625" bestFit="1" customWidth="1"/>
    <col min="9" max="9" width="7" bestFit="1" customWidth="1"/>
  </cols>
  <sheetData>
    <row r="1" spans="1:6">
      <c r="A1" s="9" t="s">
        <v>19</v>
      </c>
      <c r="B1" t="s">
        <v>18</v>
      </c>
      <c r="E1" s="9" t="s">
        <v>19</v>
      </c>
      <c r="F1" t="s">
        <v>18</v>
      </c>
    </row>
    <row r="2" spans="1:6">
      <c r="A2" s="10" t="s">
        <v>15</v>
      </c>
      <c r="B2" s="33">
        <v>18550</v>
      </c>
      <c r="E2" s="11">
        <v>45657</v>
      </c>
      <c r="F2">
        <v>62890</v>
      </c>
    </row>
    <row r="3" spans="1:6">
      <c r="A3" s="10" t="s">
        <v>14</v>
      </c>
      <c r="B3" s="33">
        <v>21170</v>
      </c>
      <c r="E3" s="11" t="s">
        <v>20</v>
      </c>
      <c r="F3">
        <v>62890</v>
      </c>
    </row>
    <row r="4" spans="1:6">
      <c r="A4" s="10" t="s">
        <v>13</v>
      </c>
      <c r="B4" s="33">
        <v>19600</v>
      </c>
    </row>
    <row r="5" spans="1:6">
      <c r="A5" s="10" t="s">
        <v>16</v>
      </c>
      <c r="B5" s="33">
        <v>1140</v>
      </c>
    </row>
    <row r="6" spans="1:6">
      <c r="A6" s="10" t="s">
        <v>20</v>
      </c>
      <c r="B6" s="33">
        <v>60460</v>
      </c>
    </row>
    <row r="18" spans="1:2">
      <c r="A18" t="s">
        <v>21</v>
      </c>
      <c r="B18" s="12">
        <f>SUM(Table1[Amount])</f>
        <v>62890</v>
      </c>
    </row>
    <row r="19" spans="1:2">
      <c r="A19" t="s">
        <v>22</v>
      </c>
      <c r="B19" s="12">
        <f>SUM(Table2[Amount])</f>
        <v>60460</v>
      </c>
    </row>
    <row r="20" spans="1:2">
      <c r="A20" t="s">
        <v>23</v>
      </c>
      <c r="B20" s="13">
        <f>B18-B19</f>
        <v>2430</v>
      </c>
    </row>
  </sheetData>
  <conditionalFormatting sqref="B20">
    <cfRule type="cellIs" dxfId="1" priority="1" operator="lessThanOrEqual">
      <formula>2000</formula>
    </cfRule>
    <cfRule type="cellIs" dxfId="0" priority="2" operator="lessThan">
      <formula>2000</formula>
    </cfRule>
    <cfRule type="iconSet" priority="3">
      <iconSet iconSet="3Flags">
        <cfvo type="percent" val="0"/>
        <cfvo type="percent" val="33"/>
        <cfvo type="percent" val="67"/>
      </iconSet>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Wing members</vt:lpstr>
      <vt:lpstr>Data</vt:lpstr>
      <vt:lpstr>Data Entry</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Mahdee Ahmed</dc:creator>
  <cp:lastModifiedBy>Mahdee Ahmed</cp:lastModifiedBy>
  <dcterms:created xsi:type="dcterms:W3CDTF">2024-12-15T11:47:39Z</dcterms:created>
  <dcterms:modified xsi:type="dcterms:W3CDTF">2025-06-24T17:08:47Z</dcterms:modified>
</cp:coreProperties>
</file>